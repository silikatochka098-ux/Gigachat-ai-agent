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 tabRatio="819" activeTab="2"/>
  </bookViews>
  <sheets>
    <sheet name="КП с ндс" sheetId="1" r:id="rId1"/>
    <sheet name="Расчёт" sheetId="2" r:id="rId2"/>
    <sheet name="Цены на металл" sheetId="3" r:id="rId3"/>
    <sheet name="Лист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<sst xmlns="http://schemas.openxmlformats.org/spreadsheetml/2006/main" count="331" uniqueCount="137">
  <si>
    <t>ООО НПО "Энергон"</t>
  </si>
  <si>
    <t xml:space="preserve">   ИНН:   3663147250  </t>
  </si>
  <si>
    <t>ОГРН:  1203600002760</t>
  </si>
  <si>
    <t>КПП:    366301001</t>
  </si>
  <si>
    <t xml:space="preserve">№                               Дата: </t>
  </si>
  <si>
    <t>Уважаемые Господа!</t>
  </si>
  <si>
    <t>ООО НПО"Энергон" предлагает Вашему вниманию коммерческое предложение, согласно спецификации.</t>
  </si>
  <si>
    <t>Спецификация:</t>
  </si>
  <si>
    <t>№</t>
  </si>
  <si>
    <t>Товары(работы, услуги)</t>
  </si>
  <si>
    <t>кол-во</t>
  </si>
  <si>
    <t>Цена за единицу с НДС (руб.)</t>
  </si>
  <si>
    <t>Сумма с НДС (руб.)</t>
  </si>
  <si>
    <r>
      <rPr>
        <sz val="13"/>
        <color theme="1"/>
        <rFont val="Calibri"/>
        <charset val="204"/>
        <scheme val="minor"/>
      </rPr>
      <t xml:space="preserve">Итого </t>
    </r>
    <r>
      <rPr>
        <u/>
        <sz val="13"/>
        <color theme="1"/>
        <rFont val="Calibri"/>
        <charset val="204"/>
        <scheme val="minor"/>
      </rPr>
      <t>без НДС</t>
    </r>
    <r>
      <rPr>
        <sz val="13"/>
        <color theme="1"/>
        <rFont val="Calibri"/>
        <charset val="204"/>
        <scheme val="minor"/>
      </rPr>
      <t>:</t>
    </r>
  </si>
  <si>
    <t xml:space="preserve"> в том числе НДС 22%:</t>
  </si>
  <si>
    <t>Итого с НДС:</t>
  </si>
  <si>
    <t xml:space="preserve"> Срок действия предложения - 3 рабочих дня.</t>
  </si>
  <si>
    <t xml:space="preserve"> Условия оплаты: обсуждаются при заказе.</t>
  </si>
  <si>
    <t xml:space="preserve"> Срок выполнения заказа - </t>
  </si>
  <si>
    <t>С уважением,</t>
  </si>
  <si>
    <t>Пермяков Сергей Сергеевич</t>
  </si>
  <si>
    <t>E-mail:     pss@npo-energon.ru</t>
  </si>
  <si>
    <t>Тел.:        8-960-133-74-57</t>
  </si>
  <si>
    <t>Наименование</t>
  </si>
  <si>
    <t>Примечание</t>
  </si>
  <si>
    <t>Материал</t>
  </si>
  <si>
    <t>Цена за лист/кг. для порошковой покраски</t>
  </si>
  <si>
    <t>Листов/ м.кв. для порошковой покраски</t>
  </si>
  <si>
    <t>Стоимость материалов</t>
  </si>
  <si>
    <t>Стоимость часа</t>
  </si>
  <si>
    <t>Часов</t>
  </si>
  <si>
    <t>Стоимость работ</t>
  </si>
  <si>
    <t>Прибыль с часа/м2</t>
  </si>
  <si>
    <t>Прибыль с работ</t>
  </si>
  <si>
    <t>Итого</t>
  </si>
  <si>
    <t>Работы и материал</t>
  </si>
  <si>
    <t>Время работы, ч</t>
  </si>
  <si>
    <t>Себест., РУБ</t>
  </si>
  <si>
    <t>Прибыль, РУБ</t>
  </si>
  <si>
    <t>Всего</t>
  </si>
  <si>
    <t>Лазерная резка</t>
  </si>
  <si>
    <t>-</t>
  </si>
  <si>
    <t>Работа</t>
  </si>
  <si>
    <r>
      <rPr>
        <sz val="11"/>
        <color theme="1"/>
        <rFont val="Calibri"/>
        <charset val="204"/>
        <scheme val="minor"/>
      </rPr>
      <t xml:space="preserve">Гибка </t>
    </r>
    <r>
      <rPr>
        <sz val="11"/>
        <color rgb="FFFF0000"/>
        <rFont val="Calibri"/>
        <charset val="204"/>
        <scheme val="minor"/>
      </rPr>
      <t>(84 гибов в час)</t>
    </r>
  </si>
  <si>
    <t>Гибка</t>
  </si>
  <si>
    <t>Токарка</t>
  </si>
  <si>
    <t>Порошковая покраска</t>
  </si>
  <si>
    <t>Сварка</t>
  </si>
  <si>
    <r>
      <rPr>
        <sz val="11"/>
        <color theme="1"/>
        <rFont val="Calibri"/>
        <charset val="204"/>
        <scheme val="minor"/>
      </rPr>
      <t>Порошковая покраска</t>
    </r>
    <r>
      <rPr>
        <sz val="11"/>
        <color rgb="FFFF0000"/>
        <rFont val="Calibri"/>
        <charset val="204"/>
        <scheme val="minor"/>
      </rPr>
      <t xml:space="preserve"> 5,53 кв. м/час.</t>
    </r>
  </si>
  <si>
    <t>Металл:</t>
  </si>
  <si>
    <t>Краска порошок</t>
  </si>
  <si>
    <t>Покупные изделия</t>
  </si>
  <si>
    <t>Проверка</t>
  </si>
  <si>
    <t>Металл</t>
  </si>
  <si>
    <t>Покраска</t>
  </si>
  <si>
    <t>Другое</t>
  </si>
  <si>
    <t>Марка стали</t>
  </si>
  <si>
    <t>Материал покраски/RAL</t>
  </si>
  <si>
    <t>Использовано, кг.</t>
  </si>
  <si>
    <t>Использовано</t>
  </si>
  <si>
    <t>Цена за тонну, р.</t>
  </si>
  <si>
    <t>Площадь листа, м2</t>
  </si>
  <si>
    <t>Вес 1м2, т</t>
  </si>
  <si>
    <t>Вес одного листа, т</t>
  </si>
  <si>
    <t>Резка листа под размер лазера, р.</t>
  </si>
  <si>
    <t>Итого за 1 лист, р.</t>
  </si>
  <si>
    <t>Стоимость 1м2, р</t>
  </si>
  <si>
    <t>Последние закупочные цены</t>
  </si>
  <si>
    <t>Расчетная себестоимость  1 метра прямого реза</t>
  </si>
  <si>
    <t>Цена  на последние числа декабря.</t>
  </si>
  <si>
    <t>конец марта</t>
  </si>
  <si>
    <t>окама</t>
  </si>
  <si>
    <t>Сталепром.</t>
  </si>
  <si>
    <t>Металлинвест</t>
  </si>
  <si>
    <t>0,5 мм Оц. Сталь (2500х1250)</t>
  </si>
  <si>
    <t>1,0 мм Оц. Сталь (2500х1250)</t>
  </si>
  <si>
    <t>1,2 мм Оц. Сталь (2500х1250)</t>
  </si>
  <si>
    <t>Март</t>
  </si>
  <si>
    <t>Фераль</t>
  </si>
  <si>
    <t>1,5 мм Оц. Сталь (2500х1250)</t>
  </si>
  <si>
    <t>Сталепром</t>
  </si>
  <si>
    <t>Окама</t>
  </si>
  <si>
    <t>металинвест</t>
  </si>
  <si>
    <t>Среднее</t>
  </si>
  <si>
    <t>2,0 мм Оц. Сталь (2500х1250)</t>
  </si>
  <si>
    <t>3,0 мм Оц. Сталь (2500х1250)</t>
  </si>
  <si>
    <t>0,7 мм Х.к. Сталь (2500х1250)</t>
  </si>
  <si>
    <t>1,0 мм Х.к. Сталь (2500х1250)</t>
  </si>
  <si>
    <t>1,2 мм Х.к. Сталь (2500х1250)</t>
  </si>
  <si>
    <t>1,5 мм Х.к. Сталь (2500х1250)</t>
  </si>
  <si>
    <t>%</t>
  </si>
  <si>
    <t>2,0 мм Х.к. Сталь (2500х1250)</t>
  </si>
  <si>
    <t>3,0 мм Х.к. Сталь (2500х1250)</t>
  </si>
  <si>
    <t>1,0 мм Ст3 (2500х1250)</t>
  </si>
  <si>
    <t>1,5 мм Ст3 (2500х1250)</t>
  </si>
  <si>
    <t>2,0 мм Ст3 (2500х1250)</t>
  </si>
  <si>
    <t>3,0 мм Ст3 (3000х1500)</t>
  </si>
  <si>
    <t>4,0 мм Ст3 (3000х1500)</t>
  </si>
  <si>
    <t>5,0 мм Ст3 (3000х1500)</t>
  </si>
  <si>
    <t>6,0 мм Ст3 (3000х1500)</t>
  </si>
  <si>
    <t>8,0 мм Ст3 (3000х1500)</t>
  </si>
  <si>
    <t>10,0 мм Ст3 (3000х1500)</t>
  </si>
  <si>
    <t>12,0 мм Ст3 (3000х1500)</t>
  </si>
  <si>
    <t>16,0 мм Ст3 (3000х1500)</t>
  </si>
  <si>
    <t>3мм рифл  (2500х1250)</t>
  </si>
  <si>
    <t>1мм НЖ (2500х1250) AISI 304</t>
  </si>
  <si>
    <t>1мм НЖ (3000х1500) AISI 304</t>
  </si>
  <si>
    <t>Другой материал ( см. примечание)</t>
  </si>
  <si>
    <t>3мм НЖ (2500х1250) AISI 304 мат</t>
  </si>
  <si>
    <t>2мм НЖ (2500х1250) AISI 304 Шлиф.</t>
  </si>
  <si>
    <t>5мм НЖ (2500х1250) AISI 304</t>
  </si>
  <si>
    <t>Вид работ</t>
  </si>
  <si>
    <t>Цена материала</t>
  </si>
  <si>
    <t>Эмаль покраска</t>
  </si>
  <si>
    <t>Грунт + Эмаль покраска</t>
  </si>
  <si>
    <t>Грунтовка+ Покраска порошковая</t>
  </si>
  <si>
    <t>1 мм AISI 304</t>
  </si>
  <si>
    <t>1 мм Алюминий</t>
  </si>
  <si>
    <t>1 мм ОЦ Сталь</t>
  </si>
  <si>
    <t>1 мм ХК Сталь</t>
  </si>
  <si>
    <t>1,2  мм Алюминий</t>
  </si>
  <si>
    <t>1,5 мм ХК Сталь</t>
  </si>
  <si>
    <t>1,5 ОЦ Сталь</t>
  </si>
  <si>
    <t>1.5 мм ОЦ Сталь</t>
  </si>
  <si>
    <t>2 мм AISI 304</t>
  </si>
  <si>
    <t>2 мм ОЦ Сталь</t>
  </si>
  <si>
    <t>2 мм ХК Сталь</t>
  </si>
  <si>
    <t>3 мм ГК Сталь</t>
  </si>
  <si>
    <t>3 мм ОЦ Сталь</t>
  </si>
  <si>
    <t>3 мм Рефленка</t>
  </si>
  <si>
    <t>4 мм ГК Сталь</t>
  </si>
  <si>
    <t>5 мм ГК Сталь</t>
  </si>
  <si>
    <t>6 мм ГК Сталь</t>
  </si>
  <si>
    <t>8 мм ГК Сталь</t>
  </si>
  <si>
    <t>10 мм ГК Сталь</t>
  </si>
  <si>
    <t>12 мм ГК Сталь</t>
  </si>
  <si>
    <t>12 мм Сталь 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</si>
</sst>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#,##0.0000"/>
    <numFmt numFmtId="179" formatCode="dd\.mm\.yyyy"/>
    <numFmt numFmtId="180" formatCode="#,##0.000"/>
    <numFmt numFmtId="181" formatCode="dd\.mmm"/>
    <numFmt numFmtId="182" formatCode="#,##0.00\ _₽"/>
  </numFmts>
  <fonts count="35"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b/>
      <sz val="14"/>
      <color theme="1"/>
      <name val="Calibri"/>
      <charset val="204"/>
      <scheme val="minor"/>
    </font>
    <font>
      <sz val="11"/>
      <color theme="1"/>
      <name val="Calibri"/>
      <charset val="204"/>
    </font>
    <font>
      <b/>
      <sz val="11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b/>
      <sz val="13"/>
      <color theme="1"/>
      <name val="Calibri"/>
      <charset val="204"/>
      <scheme val="minor"/>
    </font>
    <font>
      <sz val="13"/>
      <color theme="1"/>
      <name val="Calibri"/>
      <charset val="204"/>
      <scheme val="minor"/>
    </font>
    <font>
      <b/>
      <sz val="16"/>
      <color theme="1"/>
      <name val="Calibri"/>
      <charset val="204"/>
      <scheme val="minor"/>
    </font>
    <font>
      <sz val="14"/>
      <color theme="1"/>
      <name val="Calibri"/>
      <charset val="204"/>
      <scheme val="minor"/>
    </font>
    <font>
      <b/>
      <sz val="10"/>
      <color theme="1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3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3" fillId="3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2" applyNumberFormat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6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10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4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2" xfId="0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178" fontId="0" fillId="0" borderId="3" xfId="0" applyNumberForma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79" fontId="0" fillId="0" borderId="0" xfId="0" applyNumberFormat="1" applyBorder="1" applyAlignment="1">
      <alignment horizontal="center" vertical="center" wrapText="1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6" xfId="0" applyNumberFormat="1" applyBorder="1"/>
    <xf numFmtId="0" fontId="0" fillId="0" borderId="0" xfId="0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" fontId="0" fillId="0" borderId="1" xfId="0" applyNumberFormat="1" applyBorder="1"/>
    <xf numFmtId="0" fontId="0" fillId="0" borderId="5" xfId="0" applyBorder="1"/>
    <xf numFmtId="4" fontId="0" fillId="0" borderId="1" xfId="0" applyNumberFormat="1" applyBorder="1"/>
    <xf numFmtId="179" fontId="0" fillId="0" borderId="0" xfId="0" applyNumberFormat="1" applyBorder="1"/>
    <xf numFmtId="4" fontId="0" fillId="0" borderId="0" xfId="0" applyNumberFormat="1" applyBorder="1"/>
    <xf numFmtId="3" fontId="1" fillId="0" borderId="1" xfId="0" applyNumberFormat="1" applyFont="1" applyBorder="1" applyAlignment="1">
      <alignment horizontal="center" vertical="center"/>
    </xf>
    <xf numFmtId="181" fontId="0" fillId="0" borderId="0" xfId="0" applyNumberFormat="1"/>
    <xf numFmtId="10" fontId="0" fillId="0" borderId="1" xfId="0" applyNumberFormat="1" applyBorder="1"/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82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182" fontId="0" fillId="0" borderId="8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right" vertical="center" wrapText="1"/>
    </xf>
    <xf numFmtId="182" fontId="0" fillId="0" borderId="9" xfId="0" applyNumberFormat="1" applyBorder="1" applyAlignment="1">
      <alignment horizontal="center" vertical="center" wrapText="1"/>
    </xf>
    <xf numFmtId="4" fontId="0" fillId="0" borderId="10" xfId="0" applyNumberForma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4" fillId="0" borderId="0" xfId="0" applyFont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0" xfId="0" applyFont="1" applyAlignment="1" applyProtection="1">
      <alignment horizontal="left" vertical="center" wrapText="1"/>
      <protection locked="0"/>
    </xf>
    <xf numFmtId="3" fontId="0" fillId="0" borderId="0" xfId="0" applyNumberFormat="1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right" vertical="center" wrapText="1"/>
      <protection locked="0"/>
    </xf>
    <xf numFmtId="3" fontId="4" fillId="0" borderId="0" xfId="0" applyNumberFormat="1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righ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right" vertical="center" wrapText="1"/>
      <protection locked="0"/>
    </xf>
    <xf numFmtId="3" fontId="0" fillId="0" borderId="0" xfId="0" applyNumberFormat="1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3" fontId="11" fillId="0" borderId="12" xfId="0" applyNumberFormat="1" applyFont="1" applyBorder="1" applyAlignment="1" applyProtection="1">
      <alignment horizontal="center" vertical="center" wrapText="1"/>
      <protection locked="0"/>
    </xf>
    <xf numFmtId="3" fontId="11" fillId="0" borderId="13" xfId="0" applyNumberFormat="1" applyFont="1" applyBorder="1" applyAlignment="1" applyProtection="1">
      <alignment horizontal="center" vertical="center" wrapText="1"/>
      <protection locked="0"/>
    </xf>
    <xf numFmtId="0" fontId="0" fillId="0" borderId="14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3" fontId="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right" vertical="center" wrapText="1"/>
    </xf>
    <xf numFmtId="4" fontId="0" fillId="0" borderId="15" xfId="0" applyNumberFormat="1" applyFont="1" applyBorder="1" applyAlignment="1">
      <alignment horizontal="right" vertical="center" wrapText="1"/>
    </xf>
    <xf numFmtId="3" fontId="0" fillId="0" borderId="1" xfId="0" applyNumberFormat="1" applyFont="1" applyBorder="1" applyAlignment="1" applyProtection="1">
      <alignment horizontal="center" vertical="center" wrapText="1"/>
      <protection locked="0"/>
    </xf>
    <xf numFmtId="4" fontId="0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left" vertical="center" wrapText="1"/>
      <protection locked="0"/>
    </xf>
    <xf numFmtId="3" fontId="0" fillId="0" borderId="17" xfId="0" applyNumberFormat="1" applyFont="1" applyBorder="1" applyAlignment="1" applyProtection="1">
      <alignment horizontal="center" vertical="center" wrapText="1"/>
      <protection locked="0"/>
    </xf>
    <xf numFmtId="4" fontId="0" fillId="0" borderId="17" xfId="0" applyNumberFormat="1" applyFont="1" applyBorder="1" applyAlignment="1">
      <alignment horizontal="right" vertical="center" wrapText="1"/>
    </xf>
    <xf numFmtId="4" fontId="0" fillId="0" borderId="18" xfId="0" applyNumberFormat="1" applyFont="1" applyBorder="1" applyAlignment="1">
      <alignment horizontal="right" vertical="center" wrapText="1"/>
    </xf>
    <xf numFmtId="3" fontId="0" fillId="0" borderId="0" xfId="0" applyNumberFormat="1" applyFont="1" applyAlignment="1" applyProtection="1">
      <alignment horizontal="center" vertical="center" wrapText="1"/>
      <protection locked="0"/>
    </xf>
    <xf numFmtId="3" fontId="0" fillId="0" borderId="0" xfId="0" applyNumberFormat="1" applyFont="1" applyAlignment="1">
      <alignment horizontal="right" vertical="center" wrapText="1"/>
    </xf>
    <xf numFmtId="3" fontId="8" fillId="0" borderId="0" xfId="0" applyNumberFormat="1" applyFont="1" applyAlignment="1" applyProtection="1">
      <alignment horizontal="right" vertical="center" wrapText="1"/>
      <protection locked="0"/>
    </xf>
    <xf numFmtId="4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 applyProtection="1">
      <alignment horizontal="right" vertical="center"/>
      <protection locked="0"/>
    </xf>
    <xf numFmtId="3" fontId="2" fillId="0" borderId="0" xfId="0" applyNumberFormat="1" applyFont="1" applyAlignment="1" applyProtection="1">
      <alignment horizontal="right" vertical="center" wrapText="1"/>
      <protection locked="0"/>
    </xf>
    <xf numFmtId="4" fontId="2" fillId="0" borderId="0" xfId="0" applyNumberFormat="1" applyFont="1" applyAlignment="1">
      <alignment vertical="center" wrapText="1"/>
    </xf>
    <xf numFmtId="0" fontId="8" fillId="0" borderId="0" xfId="0" applyFont="1" applyAlignment="1" applyProtection="1">
      <alignment vertical="center" wrapText="1"/>
      <protection locked="0"/>
    </xf>
    <xf numFmtId="3" fontId="8" fillId="0" borderId="0" xfId="0" applyNumberFormat="1" applyFont="1" applyAlignment="1" applyProtection="1">
      <alignment vertical="center" wrapText="1"/>
      <protection locked="0"/>
    </xf>
    <xf numFmtId="0" fontId="12" fillId="0" borderId="0" xfId="6" applyAlignment="1" applyProtection="1">
      <alignment horizontal="left" vertical="center" wrapText="1"/>
      <protection locked="0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179614</xdr:rowOff>
    </xdr:from>
    <xdr:to>
      <xdr:col>1</xdr:col>
      <xdr:colOff>3449923</xdr:colOff>
      <xdr:row>5</xdr:row>
      <xdr:rowOff>15902</xdr:rowOff>
    </xdr:to>
    <xdr:pic>
      <xdr:nvPicPr>
        <xdr:cNvPr id="4" name="Рисунок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070"/>
          <a:ext cx="3716020" cy="888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E36"/>
  <sheetViews>
    <sheetView topLeftCell="A10" workbookViewId="0">
      <selection activeCell="H10" sqref="H10"/>
    </sheetView>
  </sheetViews>
  <sheetFormatPr defaultColWidth="9.11111111111111" defaultRowHeight="14.4" outlineLevelCol="4"/>
  <cols>
    <col min="1" max="1" width="3.88888888888889" style="60" customWidth="1"/>
    <col min="2" max="2" width="63.1111111111111" style="61" customWidth="1"/>
    <col min="3" max="3" width="5.66666666666667" style="60" customWidth="1"/>
    <col min="4" max="4" width="13.3333333333333" style="60" customWidth="1"/>
    <col min="5" max="5" width="18.3333333333333" style="62" customWidth="1"/>
    <col min="6" max="16384" width="9.11111111111111" style="60"/>
  </cols>
  <sheetData>
    <row r="2" s="56" customFormat="1" ht="17.1" customHeight="1" spans="1:5">
      <c r="B2" s="63"/>
      <c r="C2" s="64" t="s">
        <v>0</v>
      </c>
      <c r="D2" s="64"/>
      <c r="E2" s="64"/>
    </row>
    <row r="3" s="56" customFormat="1" ht="17.1" customHeight="1" spans="1:5">
      <c r="B3" s="65"/>
      <c r="C3" s="66" t="s">
        <v>1</v>
      </c>
      <c r="D3" s="66"/>
      <c r="E3" s="66"/>
    </row>
    <row r="4" s="56" customFormat="1" ht="17.1" customHeight="1" spans="1:5">
      <c r="B4" s="63"/>
      <c r="C4" s="66" t="s">
        <v>2</v>
      </c>
      <c r="D4" s="66"/>
      <c r="E4" s="66"/>
    </row>
    <row r="5" s="56" customFormat="1" ht="17.1" customHeight="1" spans="1:5">
      <c r="B5" s="63"/>
      <c r="C5" s="66" t="s">
        <v>3</v>
      </c>
      <c r="D5" s="66"/>
      <c r="E5" s="66"/>
    </row>
    <row r="6" s="56" customFormat="1" ht="17.1" customHeight="1" spans="1:5">
      <c r="B6" s="63"/>
      <c r="C6" s="67"/>
      <c r="D6" s="67"/>
      <c r="E6" s="67"/>
    </row>
    <row r="7" ht="17.4" spans="1:5">
      <c r="A7" s="68"/>
      <c r="B7" s="68" t="s">
        <v>4</v>
      </c>
      <c r="C7" s="69"/>
      <c r="E7" s="70"/>
    </row>
    <row r="9" ht="21" spans="1:5">
      <c r="A9" s="71" t="s">
        <v>5</v>
      </c>
      <c r="B9" s="71"/>
      <c r="C9" s="71"/>
      <c r="D9" s="71"/>
      <c r="E9" s="71"/>
    </row>
    <row r="10" ht="18" spans="1:5">
      <c r="A10" s="72"/>
      <c r="B10" s="73"/>
      <c r="C10" s="74"/>
      <c r="D10" s="74"/>
      <c r="E10" s="74"/>
    </row>
    <row r="11" ht="36" customHeight="1" spans="1:5">
      <c r="A11" s="75" t="s">
        <v>6</v>
      </c>
      <c r="B11" s="75"/>
      <c r="C11" s="75"/>
      <c r="D11" s="75"/>
      <c r="E11" s="75"/>
    </row>
    <row r="12" ht="18" spans="1:5">
      <c r="A12" s="76"/>
      <c r="B12" s="76"/>
      <c r="C12" s="76"/>
      <c r="D12" s="76"/>
      <c r="E12" s="76"/>
    </row>
    <row r="13" ht="16.5" customHeight="1" spans="1:5">
      <c r="A13" s="77" t="s">
        <v>7</v>
      </c>
      <c r="B13" s="77"/>
      <c r="C13" s="77"/>
      <c r="D13" s="77"/>
      <c r="E13" s="77"/>
    </row>
    <row r="14" s="57" customFormat="1" ht="39" customHeight="1" spans="1:5">
      <c r="A14" s="78" t="s">
        <v>8</v>
      </c>
      <c r="B14" s="79" t="s">
        <v>9</v>
      </c>
      <c r="C14" s="79" t="s">
        <v>10</v>
      </c>
      <c r="D14" s="80" t="s">
        <v>11</v>
      </c>
      <c r="E14" s="81" t="s">
        <v>12</v>
      </c>
    </row>
    <row r="15" spans="1:5">
      <c r="A15" s="82">
        <v>1</v>
      </c>
      <c r="B15" s="83" t="str">
        <f>Расчёт!C3</f>
        <v>-</v>
      </c>
      <c r="C15" s="84">
        <v>1</v>
      </c>
      <c r="D15" s="85">
        <f>Расчёт!L8</f>
        <v>0</v>
      </c>
      <c r="E15" s="86">
        <f>D15*C15</f>
        <v>0</v>
      </c>
    </row>
    <row r="16" spans="1:5">
      <c r="A16" s="82">
        <v>2</v>
      </c>
      <c r="B16" s="83" t="str">
        <f>Расчёт!C12</f>
        <v>-</v>
      </c>
      <c r="C16" s="87">
        <v>1</v>
      </c>
      <c r="D16" s="88">
        <f>Расчёт!L17</f>
        <v>0</v>
      </c>
      <c r="E16" s="86">
        <f t="shared" ref="E16:E24" si="0">D16*C16</f>
        <v>0</v>
      </c>
    </row>
    <row r="17" spans="1:5">
      <c r="A17" s="82">
        <v>3</v>
      </c>
      <c r="B17" s="83" t="str">
        <f>Расчёт!C21</f>
        <v>-</v>
      </c>
      <c r="C17" s="87">
        <v>1</v>
      </c>
      <c r="D17" s="88">
        <f>Расчёт!L26</f>
        <v>0</v>
      </c>
      <c r="E17" s="86">
        <f t="shared" si="0"/>
        <v>0</v>
      </c>
    </row>
    <row r="18" spans="1:5">
      <c r="A18" s="82">
        <v>4</v>
      </c>
      <c r="B18" s="83" t="str">
        <f>Расчёт!C30</f>
        <v>-</v>
      </c>
      <c r="C18" s="87">
        <v>1</v>
      </c>
      <c r="D18" s="88">
        <f>Расчёт!L35</f>
        <v>0</v>
      </c>
      <c r="E18" s="86">
        <f t="shared" si="0"/>
        <v>0</v>
      </c>
    </row>
    <row r="19" spans="1:5">
      <c r="A19" s="82">
        <v>5</v>
      </c>
      <c r="B19" s="83" t="str">
        <f>Расчёт!C39</f>
        <v>-</v>
      </c>
      <c r="C19" s="87">
        <v>1</v>
      </c>
      <c r="D19" s="85">
        <f>Расчёт!L44</f>
        <v>0</v>
      </c>
      <c r="E19" s="86">
        <f t="shared" si="0"/>
        <v>0</v>
      </c>
    </row>
    <row r="20" spans="1:5">
      <c r="A20" s="82">
        <v>6</v>
      </c>
      <c r="B20" s="83" t="str">
        <f>Расчёт!C48</f>
        <v>-</v>
      </c>
      <c r="C20" s="87">
        <v>1</v>
      </c>
      <c r="D20" s="85">
        <f>Расчёт!L53</f>
        <v>0</v>
      </c>
      <c r="E20" s="86">
        <f t="shared" si="0"/>
        <v>0</v>
      </c>
    </row>
    <row r="21" spans="1:5">
      <c r="A21" s="82">
        <v>7</v>
      </c>
      <c r="B21" s="83" t="str">
        <f>Расчёт!C57</f>
        <v>-</v>
      </c>
      <c r="C21" s="87">
        <v>1</v>
      </c>
      <c r="D21" s="85">
        <f>Расчёт!L62</f>
        <v>0</v>
      </c>
      <c r="E21" s="86">
        <f t="shared" si="0"/>
        <v>0</v>
      </c>
    </row>
    <row r="22" spans="1:5">
      <c r="A22" s="82">
        <v>8</v>
      </c>
      <c r="B22" s="83" t="str">
        <f>Расчёт!C66</f>
        <v>-</v>
      </c>
      <c r="C22" s="87">
        <v>1</v>
      </c>
      <c r="D22" s="85">
        <f>Расчёт!L71</f>
        <v>0</v>
      </c>
      <c r="E22" s="86">
        <f t="shared" si="0"/>
        <v>0</v>
      </c>
    </row>
    <row r="23" spans="1:5">
      <c r="A23" s="82">
        <v>9</v>
      </c>
      <c r="B23" s="83" t="str">
        <f>Расчёт!C75</f>
        <v>-</v>
      </c>
      <c r="C23" s="87">
        <v>1</v>
      </c>
      <c r="D23" s="85">
        <f>Расчёт!L80</f>
        <v>0</v>
      </c>
      <c r="E23" s="86">
        <f t="shared" si="0"/>
        <v>0</v>
      </c>
    </row>
    <row r="24" ht="15.15" spans="1:5">
      <c r="A24" s="89">
        <v>10</v>
      </c>
      <c r="B24" s="90" t="str">
        <f>Расчёт!C84</f>
        <v>-</v>
      </c>
      <c r="C24" s="91">
        <v>1</v>
      </c>
      <c r="D24" s="92">
        <f>Расчёт!L89</f>
        <v>0</v>
      </c>
      <c r="E24" s="93">
        <f t="shared" si="0"/>
        <v>0</v>
      </c>
    </row>
    <row r="25" spans="1:5">
      <c r="A25" s="57"/>
      <c r="C25" s="94"/>
      <c r="D25" s="95"/>
      <c r="E25" s="95"/>
    </row>
    <row r="26" ht="22.5" customHeight="1" spans="1:5">
      <c r="A26" s="96" t="s">
        <v>13</v>
      </c>
      <c r="B26" s="96"/>
      <c r="C26" s="96"/>
      <c r="D26" s="96"/>
      <c r="E26" s="97">
        <f>E28/1.22</f>
        <v>0</v>
      </c>
    </row>
    <row r="27" ht="21.75" customHeight="1" spans="1:5">
      <c r="A27" s="69"/>
      <c r="B27" s="69"/>
      <c r="C27" s="64"/>
      <c r="D27" s="98" t="s">
        <v>14</v>
      </c>
      <c r="E27" s="97">
        <f>E28-E26</f>
        <v>0</v>
      </c>
    </row>
    <row r="28" ht="24" customHeight="1" spans="1:5">
      <c r="A28" s="99" t="s">
        <v>15</v>
      </c>
      <c r="B28" s="99"/>
      <c r="C28" s="99"/>
      <c r="D28" s="99"/>
      <c r="E28" s="100">
        <f>SUM(E15:E24)</f>
        <v>0</v>
      </c>
    </row>
    <row r="29" s="58" customFormat="1" ht="18" customHeight="1" spans="1:5">
      <c r="A29" s="68" t="s">
        <v>16</v>
      </c>
      <c r="B29" s="68"/>
      <c r="C29" s="68"/>
      <c r="D29" s="68"/>
      <c r="E29" s="68"/>
    </row>
    <row r="30" s="59" customFormat="1" ht="18" customHeight="1" spans="1:5">
      <c r="A30" s="68" t="s">
        <v>17</v>
      </c>
      <c r="B30" s="68"/>
      <c r="C30" s="68"/>
      <c r="D30" s="68"/>
      <c r="E30" s="68"/>
    </row>
    <row r="31" s="58" customFormat="1" ht="18" customHeight="1" spans="1:5">
      <c r="A31" s="68" t="s">
        <v>18</v>
      </c>
      <c r="B31" s="68"/>
      <c r="C31" s="68"/>
      <c r="D31" s="68"/>
      <c r="E31" s="68"/>
    </row>
    <row r="32" s="58" customFormat="1" ht="17.4" spans="1:5">
      <c r="A32" s="68"/>
      <c r="B32" s="68"/>
      <c r="C32" s="68"/>
      <c r="D32" s="68"/>
      <c r="E32" s="68"/>
    </row>
    <row r="33" s="58" customFormat="1" ht="18" customHeight="1" spans="1:5">
      <c r="A33" s="68" t="s">
        <v>19</v>
      </c>
      <c r="B33" s="68"/>
      <c r="C33" s="101"/>
      <c r="D33" s="101"/>
      <c r="E33" s="102"/>
    </row>
    <row r="34" s="58" customFormat="1" ht="18" customHeight="1" spans="1:5">
      <c r="A34" s="68" t="s">
        <v>20</v>
      </c>
      <c r="B34" s="68"/>
      <c r="C34" s="101"/>
      <c r="D34" s="101"/>
      <c r="E34" s="102"/>
    </row>
    <row r="35" s="58" customFormat="1" ht="18" customHeight="1" spans="1:5">
      <c r="A35" s="68" t="s">
        <v>21</v>
      </c>
      <c r="B35" s="68"/>
      <c r="C35" s="103"/>
      <c r="D35" s="68"/>
      <c r="E35" s="68"/>
    </row>
    <row r="36" s="58" customFormat="1" ht="18" customHeight="1" spans="1:5">
      <c r="A36" s="68" t="s">
        <v>22</v>
      </c>
      <c r="B36" s="68"/>
      <c r="C36" s="68"/>
      <c r="D36" s="68"/>
      <c r="E36" s="68"/>
    </row>
  </sheetData>
  <sheetProtection formatCells="0" formatColumns="0" formatRows="0" insertRows="0" insertColumns="0" insertHyperlinks="0" deleteColumns="0" deleteRows="0" sort="0" autoFilter="0" pivotTables="0"/>
  <mergeCells count="18">
    <mergeCell ref="C2:E2"/>
    <mergeCell ref="C3:E3"/>
    <mergeCell ref="C4:E4"/>
    <mergeCell ref="C5:E5"/>
    <mergeCell ref="A9:E9"/>
    <mergeCell ref="A11:E11"/>
    <mergeCell ref="A13:E13"/>
    <mergeCell ref="A26:D26"/>
    <mergeCell ref="A28:D28"/>
    <mergeCell ref="A29:E29"/>
    <mergeCell ref="A30:E30"/>
    <mergeCell ref="A31:E31"/>
    <mergeCell ref="A33:B33"/>
    <mergeCell ref="A34:B34"/>
    <mergeCell ref="A35:B35"/>
    <mergeCell ref="C35:E35"/>
    <mergeCell ref="A36:B36"/>
    <mergeCell ref="C36:E36"/>
  </mergeCells>
  <pageMargins left="0.62992125984252" right="0.236220472440945" top="0.748031496062992" bottom="0.748031496062992" header="0.31496062992126" footer="0.31496062992126"/>
  <pageSetup paperSize="9" scale="90" orientation="portrait"/>
  <headerFooter/>
  <ignoredErrors>
    <ignoredError sqref="D16:D18 B15:B24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9"/>
  <sheetViews>
    <sheetView zoomScale="85" zoomScaleNormal="85" topLeftCell="B1" workbookViewId="0">
      <selection activeCell="A10" sqref="A10:L10"/>
    </sheetView>
  </sheetViews>
  <sheetFormatPr defaultColWidth="9.11111111111111" defaultRowHeight="14.4"/>
  <cols>
    <col min="1" max="1" width="25.1111111111111" style="34" customWidth="1"/>
    <col min="2" max="2" width="21.8888888888889" style="34" customWidth="1"/>
    <col min="3" max="3" width="20.3333333333333" style="34" customWidth="1"/>
    <col min="4" max="4" width="16.6666666666667" style="34" customWidth="1"/>
    <col min="5" max="5" width="12.3333333333333" style="34" customWidth="1"/>
    <col min="6" max="6" width="12.6666666666667" style="35" customWidth="1"/>
    <col min="7" max="7" width="15.6666666666667" style="35" customWidth="1"/>
    <col min="8" max="8" width="9.11111111111111" style="36" customWidth="1"/>
    <col min="9" max="10" width="15.6666666666667" style="35" customWidth="1"/>
    <col min="11" max="11" width="15.6666666666667" style="37" customWidth="1"/>
    <col min="12" max="12" width="15.6666666666667" style="35" customWidth="1"/>
    <col min="13" max="13" width="11.4444444444444" style="34" customWidth="1"/>
    <col min="14" max="14" width="16.1111111111111" style="34" customWidth="1"/>
    <col min="15" max="15" width="26.8888888888889" style="34" customWidth="1"/>
    <col min="16" max="16" width="15.6666666666667" style="34" customWidth="1"/>
    <col min="17" max="17" width="16.8888888888889" style="34" customWidth="1"/>
    <col min="18" max="18" width="14.8888888888889" style="34" customWidth="1"/>
    <col min="19" max="19" width="20" style="34" customWidth="1"/>
    <col min="20" max="16384" width="9.11111111111111" style="34"/>
  </cols>
  <sheetData>
    <row r="1" ht="68.25" customHeight="1" spans="1:20">
      <c r="A1" s="38">
        <v>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ht="57.6" spans="1:20">
      <c r="A2" s="39" t="s">
        <v>23</v>
      </c>
      <c r="B2" s="39" t="s">
        <v>24</v>
      </c>
      <c r="C2" s="39" t="s">
        <v>25</v>
      </c>
      <c r="D2" s="39" t="s">
        <v>26</v>
      </c>
      <c r="E2" s="39" t="s">
        <v>27</v>
      </c>
      <c r="F2" s="13" t="s">
        <v>28</v>
      </c>
      <c r="G2" s="13" t="s">
        <v>29</v>
      </c>
      <c r="H2" s="40" t="s">
        <v>30</v>
      </c>
      <c r="I2" s="13" t="s">
        <v>31</v>
      </c>
      <c r="J2" s="13" t="s">
        <v>32</v>
      </c>
      <c r="K2" s="41" t="s">
        <v>33</v>
      </c>
      <c r="L2" s="13" t="s">
        <v>34</v>
      </c>
      <c r="N2" s="42" t="s">
        <v>35</v>
      </c>
      <c r="O2" s="42"/>
      <c r="P2" s="42" t="s">
        <v>36</v>
      </c>
      <c r="Q2" s="42" t="s">
        <v>37</v>
      </c>
      <c r="R2" s="42" t="s">
        <v>38</v>
      </c>
      <c r="S2" s="42" t="s">
        <v>39</v>
      </c>
    </row>
    <row r="3" spans="1:20">
      <c r="A3" s="39" t="s">
        <v>40</v>
      </c>
      <c r="B3" s="39"/>
      <c r="C3" s="43" t="s">
        <v>41</v>
      </c>
      <c r="D3" s="13">
        <f>VLOOKUP(C3,'Цены на металл'!$A$3:$H$30,7,0)</f>
        <v>0</v>
      </c>
      <c r="E3" s="39"/>
      <c r="F3" s="44">
        <f>D3*E3</f>
        <v>0</v>
      </c>
      <c r="G3" s="45">
        <v>4800</v>
      </c>
      <c r="H3" s="40"/>
      <c r="I3" s="44">
        <f>H3*G3</f>
        <v>0</v>
      </c>
      <c r="J3" s="44"/>
      <c r="K3" s="41">
        <f>H3*J3</f>
        <v>0</v>
      </c>
      <c r="L3" s="44">
        <f>F3+I3+K3</f>
        <v>0</v>
      </c>
      <c r="N3" s="39" t="s">
        <v>42</v>
      </c>
      <c r="O3" s="46" t="s">
        <v>40</v>
      </c>
      <c r="P3" s="47">
        <f>SUM(H3,H12,H21,H30,H39,H48,H57,H66,H75,H84)</f>
        <v>0</v>
      </c>
      <c r="Q3" s="13">
        <f>I3+I12+I21+I30+I39+I48+I57+I66+I75+I84</f>
        <v>0</v>
      </c>
      <c r="R3" s="41">
        <f>SUM(K3,K12,K21,K30,K39,K48,K57,K66,K75,K84)</f>
        <v>0</v>
      </c>
      <c r="S3" s="41">
        <f>SUM(Q3:R7)</f>
        <v>0</v>
      </c>
    </row>
    <row r="4" spans="1:20">
      <c r="A4" s="39" t="s">
        <v>43</v>
      </c>
      <c r="B4" s="39"/>
      <c r="C4" s="39"/>
      <c r="D4" s="39"/>
      <c r="E4" s="39"/>
      <c r="F4" s="44">
        <f t="shared" ref="F4:F6" si="0">D4*E4</f>
        <v>0</v>
      </c>
      <c r="G4" s="45">
        <v>2685</v>
      </c>
      <c r="H4" s="40"/>
      <c r="I4" s="44">
        <f>H4*G4</f>
        <v>0</v>
      </c>
      <c r="J4" s="44"/>
      <c r="K4" s="41">
        <f t="shared" ref="K4:K6" si="1">H4*J4</f>
        <v>0</v>
      </c>
      <c r="L4" s="44">
        <f t="shared" ref="L4:L7" si="2">F4+I4+K4</f>
        <v>0</v>
      </c>
      <c r="N4" s="39"/>
      <c r="O4" s="46" t="s">
        <v>44</v>
      </c>
      <c r="P4" s="47">
        <f>SUM(H4,H13,H22,H31,H40,H49,H58,H67,H76,H85)</f>
        <v>0</v>
      </c>
      <c r="Q4" s="13">
        <f>SUM(I4,I13,I22,I31,I40,I49,I58,I67,I76,I85)</f>
        <v>0</v>
      </c>
      <c r="R4" s="41">
        <f>SUM(K4,K13,K22,K31,K40,K49,K58,K67,K76,K85)</f>
        <v>0</v>
      </c>
      <c r="S4" s="39"/>
    </row>
    <row r="5" spans="1:20">
      <c r="A5" s="39" t="s">
        <v>45</v>
      </c>
      <c r="B5" s="39"/>
      <c r="C5" s="39"/>
      <c r="D5" s="39"/>
      <c r="E5" s="39"/>
      <c r="F5" s="44">
        <v>0</v>
      </c>
      <c r="G5" s="45">
        <v>4800</v>
      </c>
      <c r="H5" s="40"/>
      <c r="I5" s="44">
        <f t="shared" ref="I5:I6" si="3">H5*G5</f>
        <v>0</v>
      </c>
      <c r="J5" s="44"/>
      <c r="K5" s="41">
        <f t="shared" si="1"/>
        <v>0</v>
      </c>
      <c r="L5" s="44">
        <f t="shared" si="2"/>
        <v>0</v>
      </c>
      <c r="N5" s="39"/>
      <c r="O5" s="46" t="s">
        <v>46</v>
      </c>
      <c r="P5" s="47">
        <f>SUM(H7,H16,H25,H34,H43,H52,H61,H70,H79,H88)</f>
        <v>0</v>
      </c>
      <c r="Q5" s="13">
        <f>SUM(I7,I16,I25,I34,I43,I52,I61,I70,I79,I88)</f>
        <v>0</v>
      </c>
      <c r="R5" s="41">
        <f>SUM(K7,K16,K25,K34,K43,K52,K61,K70,K79,K88)</f>
        <v>0</v>
      </c>
      <c r="S5" s="39"/>
    </row>
    <row r="6" spans="1:20">
      <c r="A6" s="39" t="s">
        <v>47</v>
      </c>
      <c r="B6" s="39"/>
      <c r="C6" s="39"/>
      <c r="D6" s="39"/>
      <c r="E6" s="39"/>
      <c r="F6" s="44">
        <f t="shared" si="0"/>
        <v>0</v>
      </c>
      <c r="G6" s="45">
        <v>1980</v>
      </c>
      <c r="H6" s="40"/>
      <c r="I6" s="44">
        <f t="shared" si="3"/>
        <v>0</v>
      </c>
      <c r="J6" s="44"/>
      <c r="K6" s="41">
        <f t="shared" si="1"/>
        <v>0</v>
      </c>
      <c r="L6" s="44">
        <f t="shared" si="2"/>
        <v>0</v>
      </c>
      <c r="N6" s="39"/>
      <c r="O6" s="46" t="s">
        <v>47</v>
      </c>
      <c r="P6" s="47">
        <f>SUM(H6,H15,H24,H33,H42,H51,H69,H78,H87)</f>
        <v>0</v>
      </c>
      <c r="Q6" s="13">
        <f>SUM(I6,I15,I24,I33,I42,I51,I60,I69,I78,I87)</f>
        <v>0</v>
      </c>
      <c r="R6" s="41">
        <f>SUM(K6,K15,K24,K33,K42,K51,K60,K69,K78,K87)</f>
        <v>0</v>
      </c>
      <c r="S6" s="39"/>
    </row>
    <row r="7" ht="29.55" spans="1:20">
      <c r="A7" s="39" t="s">
        <v>48</v>
      </c>
      <c r="B7" s="39" t="s">
        <v>46</v>
      </c>
      <c r="C7" s="39"/>
      <c r="D7" s="39">
        <f>VLOOKUP(B7,'Цены на металл'!$A$36:$B$39,2,0)</f>
        <v>500</v>
      </c>
      <c r="E7" s="39"/>
      <c r="F7" s="44">
        <f>E7*0.3*D7</f>
        <v>0</v>
      </c>
      <c r="G7" s="45">
        <v>2500</v>
      </c>
      <c r="H7" s="40">
        <f>E7/5.53</f>
        <v>0</v>
      </c>
      <c r="I7" s="44">
        <f t="shared" ref="I7" si="4">H7*G7</f>
        <v>0</v>
      </c>
      <c r="J7" s="44"/>
      <c r="K7" s="48">
        <f>J7*H7</f>
        <v>0</v>
      </c>
      <c r="L7" s="49">
        <f t="shared" si="2"/>
        <v>0</v>
      </c>
      <c r="N7" s="39"/>
      <c r="O7" s="46" t="s">
        <v>45</v>
      </c>
      <c r="P7" s="47">
        <f>SUM(H5,H14,H23,H32,H41,H50,H59,H77,H86,H68)</f>
        <v>0</v>
      </c>
      <c r="Q7" s="13">
        <f>SUM(I5,I14,I23,I32,I41,I59,I68,I77,I86)</f>
        <v>0</v>
      </c>
      <c r="R7" s="41">
        <f>SUM(K5,K14,K23,K32,K41,K50,K59,K68,K77,K86)</f>
        <v>0</v>
      </c>
      <c r="S7" s="39"/>
    </row>
    <row r="8" ht="15.15" spans="1:20">
      <c r="K8" s="50">
        <f>SUM(K3:K7)</f>
        <v>0</v>
      </c>
      <c r="L8" s="51">
        <f>SUM(L3:L7)</f>
        <v>0</v>
      </c>
      <c r="N8" s="39" t="s">
        <v>25</v>
      </c>
      <c r="O8" s="46" t="s">
        <v>49</v>
      </c>
      <c r="P8" s="47"/>
      <c r="Q8" s="13">
        <f>SUM(F3,F12,F21,F30,F39,F48,F57,F66,F75,F84)</f>
        <v>0</v>
      </c>
      <c r="R8" s="39"/>
      <c r="S8" s="13">
        <f>SUM(Q8:Q10)</f>
        <v>0</v>
      </c>
    </row>
    <row r="9" spans="1:20">
      <c r="N9" s="39"/>
      <c r="O9" s="46" t="s">
        <v>50</v>
      </c>
      <c r="P9" s="47"/>
      <c r="Q9" s="13">
        <f>SUM(F7,F16,F25,F34,F43,F52,F61,F70,F79,F88)</f>
        <v>0</v>
      </c>
      <c r="R9" s="39"/>
      <c r="S9" s="39"/>
    </row>
    <row r="10" spans="1:20">
      <c r="A10" s="38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N10" s="39"/>
      <c r="O10" s="46" t="s">
        <v>51</v>
      </c>
      <c r="P10" s="47"/>
      <c r="Q10" s="39"/>
      <c r="R10" s="39"/>
      <c r="S10" s="39"/>
      <c r="T10" s="34" t="s">
        <v>52</v>
      </c>
    </row>
    <row r="11" ht="70.5" customHeight="1" spans="1:20">
      <c r="A11" s="39" t="s">
        <v>23</v>
      </c>
      <c r="B11" s="39" t="s">
        <v>24</v>
      </c>
      <c r="C11" s="39" t="s">
        <v>25</v>
      </c>
      <c r="D11" s="39" t="s">
        <v>26</v>
      </c>
      <c r="E11" s="39" t="s">
        <v>27</v>
      </c>
      <c r="F11" s="13" t="s">
        <v>28</v>
      </c>
      <c r="G11" s="13" t="s">
        <v>29</v>
      </c>
      <c r="H11" s="40" t="s">
        <v>30</v>
      </c>
      <c r="I11" s="13" t="s">
        <v>31</v>
      </c>
      <c r="J11" s="13" t="s">
        <v>32</v>
      </c>
      <c r="K11" s="41" t="s">
        <v>33</v>
      </c>
      <c r="L11" s="13" t="s">
        <v>34</v>
      </c>
      <c r="N11" s="42" t="s">
        <v>34</v>
      </c>
      <c r="O11" s="42"/>
      <c r="P11" s="52">
        <f>SUM(P3:P7)</f>
        <v>0</v>
      </c>
      <c r="Q11" s="53">
        <f>SUM(Q3:Q10)</f>
        <v>0</v>
      </c>
      <c r="R11" s="53">
        <f>SUM(R3:R10)</f>
        <v>0</v>
      </c>
      <c r="S11" s="54">
        <f>SUM(S3:S10)</f>
        <v>0</v>
      </c>
      <c r="T11" s="55">
        <f>L8+L17+L26+L35+L44+L53+L62+L71+L80+L89</f>
        <v>0</v>
      </c>
    </row>
    <row r="12" spans="1:20">
      <c r="A12" s="39" t="s">
        <v>40</v>
      </c>
      <c r="B12" s="39"/>
      <c r="C12" s="43" t="s">
        <v>41</v>
      </c>
      <c r="D12" s="13">
        <f>VLOOKUP(C12,'Цены на металл'!$A$3:$H$30,7,0)</f>
        <v>0</v>
      </c>
      <c r="E12" s="39"/>
      <c r="F12" s="44">
        <f>D12*E12</f>
        <v>0</v>
      </c>
      <c r="G12" s="45">
        <v>4800</v>
      </c>
      <c r="H12" s="40"/>
      <c r="I12" s="44">
        <f>H12*G12</f>
        <v>0</v>
      </c>
      <c r="J12" s="44"/>
      <c r="K12" s="41">
        <f>H12*J12</f>
        <v>0</v>
      </c>
      <c r="L12" s="44">
        <f>F12+I12+K12</f>
        <v>0</v>
      </c>
    </row>
    <row r="13" spans="1:20">
      <c r="A13" s="39" t="s">
        <v>43</v>
      </c>
      <c r="B13" s="39"/>
      <c r="C13" s="39"/>
      <c r="D13" s="39"/>
      <c r="E13" s="39"/>
      <c r="F13" s="44">
        <f t="shared" ref="F13" si="5">D13*E13</f>
        <v>0</v>
      </c>
      <c r="G13" s="45">
        <v>2685</v>
      </c>
      <c r="H13" s="40"/>
      <c r="I13" s="44">
        <f>H13*G13</f>
        <v>0</v>
      </c>
      <c r="J13" s="44"/>
      <c r="K13" s="41">
        <f t="shared" ref="K13:K14" si="6">H13*J13</f>
        <v>0</v>
      </c>
      <c r="L13" s="44">
        <f t="shared" ref="L13:L16" si="7">F13+I13+K13</f>
        <v>0</v>
      </c>
    </row>
    <row r="14" spans="1:20">
      <c r="A14" s="39" t="s">
        <v>45</v>
      </c>
      <c r="B14" s="39"/>
      <c r="C14" s="39"/>
      <c r="D14" s="39"/>
      <c r="E14" s="39"/>
      <c r="F14" s="44">
        <v>0</v>
      </c>
      <c r="G14" s="45">
        <v>4800</v>
      </c>
      <c r="H14" s="40"/>
      <c r="I14" s="44">
        <f>G14*H14</f>
        <v>0</v>
      </c>
      <c r="J14" s="44"/>
      <c r="K14" s="41">
        <f t="shared" si="6"/>
        <v>0</v>
      </c>
      <c r="L14" s="44">
        <f t="shared" si="7"/>
        <v>0</v>
      </c>
    </row>
    <row r="15" spans="1:20">
      <c r="A15" s="39" t="s">
        <v>47</v>
      </c>
      <c r="B15" s="39"/>
      <c r="C15" s="39"/>
      <c r="D15" s="39"/>
      <c r="E15" s="39"/>
      <c r="F15" s="44">
        <f t="shared" ref="F15" si="8">D15*E15</f>
        <v>0</v>
      </c>
      <c r="G15" s="45">
        <v>1980</v>
      </c>
      <c r="H15" s="40"/>
      <c r="I15" s="44">
        <f t="shared" ref="I15:I16" si="9">H15*G15</f>
        <v>0</v>
      </c>
      <c r="J15" s="44"/>
      <c r="K15" s="41">
        <f t="shared" ref="K15" si="10">H15*J15</f>
        <v>0</v>
      </c>
      <c r="L15" s="44">
        <f t="shared" si="7"/>
        <v>0</v>
      </c>
    </row>
    <row r="16" ht="29.55" spans="1:20">
      <c r="A16" s="39" t="s">
        <v>48</v>
      </c>
      <c r="B16" s="39" t="s">
        <v>46</v>
      </c>
      <c r="C16" s="39"/>
      <c r="D16" s="39">
        <f>VLOOKUP(B16,'Цены на металл'!$A$36:$B$39,2,0)</f>
        <v>500</v>
      </c>
      <c r="E16" s="39"/>
      <c r="F16" s="44">
        <f>E16*0.3*D16</f>
        <v>0</v>
      </c>
      <c r="G16" s="45">
        <v>2500</v>
      </c>
      <c r="H16" s="40">
        <f>E16/5.53</f>
        <v>0</v>
      </c>
      <c r="I16" s="44">
        <f t="shared" si="9"/>
        <v>0</v>
      </c>
      <c r="J16" s="44"/>
      <c r="K16" s="48">
        <f>J16*H16</f>
        <v>0</v>
      </c>
      <c r="L16" s="49">
        <f t="shared" si="7"/>
        <v>0</v>
      </c>
      <c r="N16" s="1" t="s">
        <v>53</v>
      </c>
      <c r="O16" s="1"/>
      <c r="P16" s="1" t="s">
        <v>54</v>
      </c>
      <c r="Q16" s="1"/>
      <c r="R16" s="1" t="s">
        <v>55</v>
      </c>
      <c r="S16" s="1"/>
    </row>
    <row r="17" ht="15.15" spans="1:19">
      <c r="K17" s="50">
        <f>SUM(K12:K16)</f>
        <v>0</v>
      </c>
      <c r="L17" s="51">
        <f>SUM(L12:L16)</f>
        <v>0</v>
      </c>
      <c r="N17" s="2" t="s">
        <v>56</v>
      </c>
      <c r="O17" s="2" t="s">
        <v>27</v>
      </c>
      <c r="P17" s="2" t="s">
        <v>57</v>
      </c>
      <c r="Q17" s="2" t="s">
        <v>58</v>
      </c>
      <c r="R17" s="2" t="s">
        <v>25</v>
      </c>
      <c r="S17" s="2" t="s">
        <v>59</v>
      </c>
    </row>
    <row r="18" spans="1:19">
      <c r="N18" s="2" t="str">
        <f>C3</f>
        <v>-</v>
      </c>
      <c r="O18" s="2">
        <f>E3</f>
        <v>0</v>
      </c>
      <c r="P18" s="2">
        <f>C7</f>
        <v>0</v>
      </c>
      <c r="Q18" s="2">
        <f>E7*0.3</f>
        <v>0</v>
      </c>
      <c r="R18" s="2"/>
      <c r="S18" s="2"/>
    </row>
    <row r="19" spans="1:19">
      <c r="A19" s="38">
        <v>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N19" s="2" t="str">
        <f>C12</f>
        <v>-</v>
      </c>
      <c r="O19" s="2">
        <f>E12</f>
        <v>0</v>
      </c>
      <c r="P19" s="2">
        <f>C16</f>
        <v>0</v>
      </c>
      <c r="Q19" s="2">
        <f>E16*0.3</f>
        <v>0</v>
      </c>
      <c r="R19" s="2"/>
      <c r="S19" s="2"/>
    </row>
    <row r="20" ht="42" customHeight="1" spans="1:19">
      <c r="A20" s="39" t="s">
        <v>23</v>
      </c>
      <c r="B20" s="39" t="s">
        <v>24</v>
      </c>
      <c r="C20" s="39" t="s">
        <v>25</v>
      </c>
      <c r="D20" s="39" t="s">
        <v>26</v>
      </c>
      <c r="E20" s="39" t="s">
        <v>27</v>
      </c>
      <c r="F20" s="13" t="s">
        <v>28</v>
      </c>
      <c r="G20" s="13" t="s">
        <v>29</v>
      </c>
      <c r="H20" s="40" t="s">
        <v>30</v>
      </c>
      <c r="I20" s="13" t="s">
        <v>31</v>
      </c>
      <c r="J20" s="13" t="s">
        <v>32</v>
      </c>
      <c r="K20" s="41" t="s">
        <v>33</v>
      </c>
      <c r="L20" s="13" t="s">
        <v>34</v>
      </c>
      <c r="N20" s="2" t="str">
        <f>C21</f>
        <v>-</v>
      </c>
      <c r="O20" s="2">
        <f>E21</f>
        <v>0</v>
      </c>
      <c r="P20" s="2">
        <f>C25</f>
        <v>0</v>
      </c>
      <c r="Q20" s="2">
        <f>E25*0.3</f>
        <v>0</v>
      </c>
      <c r="R20" s="2"/>
      <c r="S20" s="2"/>
    </row>
    <row r="21" spans="1:19">
      <c r="A21" s="39" t="s">
        <v>40</v>
      </c>
      <c r="B21" s="39"/>
      <c r="C21" s="43" t="s">
        <v>41</v>
      </c>
      <c r="D21" s="13">
        <f>VLOOKUP(C21,'Цены на металл'!$A$3:$H$30,7,0)</f>
        <v>0</v>
      </c>
      <c r="E21" s="39"/>
      <c r="F21" s="44">
        <f>D21*E21</f>
        <v>0</v>
      </c>
      <c r="G21" s="45">
        <v>4800</v>
      </c>
      <c r="H21" s="40"/>
      <c r="I21" s="44">
        <f>H21*G21</f>
        <v>0</v>
      </c>
      <c r="J21" s="44"/>
      <c r="K21" s="41">
        <f>H21*J21</f>
        <v>0</v>
      </c>
      <c r="L21" s="44">
        <f>F21+I21+K21</f>
        <v>0</v>
      </c>
      <c r="N21" s="2" t="str">
        <f>C30</f>
        <v>-</v>
      </c>
      <c r="O21" s="2">
        <f>E30</f>
        <v>0</v>
      </c>
      <c r="P21" s="2">
        <f>C34</f>
        <v>0</v>
      </c>
      <c r="Q21" s="2">
        <f>E34*0.3</f>
        <v>0</v>
      </c>
      <c r="R21" s="2"/>
      <c r="S21" s="2"/>
    </row>
    <row r="22" spans="1:19">
      <c r="A22" s="39" t="s">
        <v>43</v>
      </c>
      <c r="B22" s="39"/>
      <c r="C22" s="39"/>
      <c r="D22" s="39"/>
      <c r="E22" s="39"/>
      <c r="F22" s="44">
        <f t="shared" ref="F22" si="11">D22*E22</f>
        <v>0</v>
      </c>
      <c r="G22" s="45">
        <v>2685</v>
      </c>
      <c r="H22" s="40"/>
      <c r="I22" s="44">
        <f>H22*G22</f>
        <v>0</v>
      </c>
      <c r="J22" s="44"/>
      <c r="K22" s="41">
        <f t="shared" ref="K22:K23" si="12">H22*J22</f>
        <v>0</v>
      </c>
      <c r="L22" s="44">
        <f t="shared" ref="L22:L25" si="13">F22+I22+K22</f>
        <v>0</v>
      </c>
      <c r="N22" s="2" t="str">
        <f>C39</f>
        <v>-</v>
      </c>
      <c r="O22" s="2">
        <f>E39</f>
        <v>0</v>
      </c>
      <c r="P22" s="2">
        <f>C43</f>
        <v>0</v>
      </c>
      <c r="Q22" s="2">
        <f>E43*0.3</f>
        <v>0</v>
      </c>
      <c r="R22" s="2"/>
      <c r="S22" s="2"/>
    </row>
    <row r="23" spans="1:19">
      <c r="A23" s="39" t="s">
        <v>45</v>
      </c>
      <c r="B23" s="39"/>
      <c r="C23" s="39"/>
      <c r="D23" s="39"/>
      <c r="E23" s="39"/>
      <c r="F23" s="44">
        <v>0</v>
      </c>
      <c r="G23" s="45">
        <v>4800</v>
      </c>
      <c r="H23" s="40"/>
      <c r="I23" s="44">
        <f>G23*H23</f>
        <v>0</v>
      </c>
      <c r="J23" s="44"/>
      <c r="K23" s="41">
        <f t="shared" si="12"/>
        <v>0</v>
      </c>
      <c r="L23" s="44">
        <f t="shared" si="13"/>
        <v>0</v>
      </c>
      <c r="N23" s="2" t="str">
        <f>C48</f>
        <v>-</v>
      </c>
      <c r="O23" s="2">
        <f>E48</f>
        <v>0</v>
      </c>
      <c r="P23" s="2">
        <f>C52</f>
        <v>0</v>
      </c>
      <c r="Q23" s="2">
        <f>E52*0.3</f>
        <v>0</v>
      </c>
      <c r="R23" s="2"/>
      <c r="S23" s="2"/>
    </row>
    <row r="24" spans="1:19">
      <c r="A24" s="39" t="s">
        <v>47</v>
      </c>
      <c r="B24" s="39"/>
      <c r="C24" s="39"/>
      <c r="D24" s="39"/>
      <c r="E24" s="39"/>
      <c r="F24" s="44">
        <f t="shared" ref="F24" si="14">D24*E24</f>
        <v>0</v>
      </c>
      <c r="G24" s="45">
        <v>1980</v>
      </c>
      <c r="H24" s="40"/>
      <c r="I24" s="44">
        <f t="shared" ref="I24:I25" si="15">H24*G24</f>
        <v>0</v>
      </c>
      <c r="J24" s="44"/>
      <c r="K24" s="41">
        <f t="shared" ref="K24" si="16">H24*J24</f>
        <v>0</v>
      </c>
      <c r="L24" s="44">
        <f t="shared" si="13"/>
        <v>0</v>
      </c>
      <c r="N24" s="2" t="str">
        <f>C57</f>
        <v>-</v>
      </c>
      <c r="O24" s="2">
        <f>E57</f>
        <v>0</v>
      </c>
      <c r="P24" s="2">
        <f>C61</f>
        <v>0</v>
      </c>
      <c r="Q24" s="2">
        <f>E61*0.3</f>
        <v>0</v>
      </c>
      <c r="R24" s="2"/>
      <c r="S24" s="2"/>
    </row>
    <row r="25" ht="29.55" spans="1:19">
      <c r="A25" s="39" t="s">
        <v>48</v>
      </c>
      <c r="B25" s="39" t="s">
        <v>46</v>
      </c>
      <c r="C25" s="39"/>
      <c r="D25" s="39">
        <f>VLOOKUP(B25,'Цены на металл'!$A$36:$B$39,2,0)</f>
        <v>500</v>
      </c>
      <c r="E25" s="39"/>
      <c r="F25" s="44">
        <f>E25*0.3*D25</f>
        <v>0</v>
      </c>
      <c r="G25" s="45">
        <v>2500</v>
      </c>
      <c r="H25" s="40">
        <f>E25/5.53</f>
        <v>0</v>
      </c>
      <c r="I25" s="44">
        <f t="shared" si="15"/>
        <v>0</v>
      </c>
      <c r="J25" s="44"/>
      <c r="K25" s="48">
        <f>J25*H25</f>
        <v>0</v>
      </c>
      <c r="L25" s="49">
        <f t="shared" si="13"/>
        <v>0</v>
      </c>
      <c r="N25" s="2" t="str">
        <f>C66</f>
        <v>-</v>
      </c>
      <c r="O25" s="2">
        <f>E66</f>
        <v>0</v>
      </c>
      <c r="P25" s="2">
        <f>C70</f>
        <v>0</v>
      </c>
      <c r="Q25" s="2">
        <f>E70*0.3</f>
        <v>0</v>
      </c>
      <c r="R25" s="2"/>
      <c r="S25" s="2"/>
    </row>
    <row r="26" ht="15.15" spans="1:19">
      <c r="K26" s="50">
        <f>SUM(K21:K25)</f>
        <v>0</v>
      </c>
      <c r="L26" s="51">
        <f>SUM(L21:L25)</f>
        <v>0</v>
      </c>
      <c r="N26" s="2" t="str">
        <f>C75</f>
        <v>-</v>
      </c>
      <c r="O26" s="2">
        <f>E75</f>
        <v>0</v>
      </c>
      <c r="P26" s="2">
        <f>C79</f>
        <v>0</v>
      </c>
      <c r="Q26" s="2">
        <f>E79*0.3</f>
        <v>0</v>
      </c>
      <c r="R26" s="2"/>
      <c r="S26" s="2"/>
    </row>
    <row r="27" spans="1:19">
      <c r="N27" s="2" t="str">
        <f>C84</f>
        <v>-</v>
      </c>
      <c r="O27" s="2">
        <f>E84</f>
        <v>0</v>
      </c>
      <c r="P27" s="2">
        <f>C88</f>
        <v>0</v>
      </c>
      <c r="Q27" s="2">
        <f>E88*0.3</f>
        <v>0</v>
      </c>
      <c r="R27" s="2"/>
      <c r="S27" s="2"/>
    </row>
    <row r="28" spans="1:19">
      <c r="A28" s="38">
        <v>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ht="58.5" customHeight="1" spans="1:19">
      <c r="A29" s="39" t="s">
        <v>23</v>
      </c>
      <c r="B29" s="39" t="s">
        <v>24</v>
      </c>
      <c r="C29" s="39" t="s">
        <v>25</v>
      </c>
      <c r="D29" s="39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13" t="s">
        <v>31</v>
      </c>
      <c r="J29" s="13" t="s">
        <v>32</v>
      </c>
      <c r="K29" s="41" t="s">
        <v>33</v>
      </c>
      <c r="L29" s="13" t="s">
        <v>34</v>
      </c>
    </row>
    <row r="30" spans="1:19">
      <c r="A30" s="39" t="s">
        <v>40</v>
      </c>
      <c r="B30" s="39"/>
      <c r="C30" s="43" t="s">
        <v>41</v>
      </c>
      <c r="D30" s="13">
        <f>VLOOKUP(C30,'Цены на металл'!$A$3:$H$30,7,0)</f>
        <v>0</v>
      </c>
      <c r="E30" s="39"/>
      <c r="F30" s="44">
        <f>D30*E30</f>
        <v>0</v>
      </c>
      <c r="G30" s="45">
        <v>4800</v>
      </c>
      <c r="H30" s="40"/>
      <c r="I30" s="44">
        <f>H30*G30</f>
        <v>0</v>
      </c>
      <c r="J30" s="44"/>
      <c r="K30" s="41">
        <f>H30*J30</f>
        <v>0</v>
      </c>
      <c r="L30" s="44">
        <f>F30+I30+K30</f>
        <v>0</v>
      </c>
    </row>
    <row r="31" spans="1:19">
      <c r="A31" s="39" t="s">
        <v>43</v>
      </c>
      <c r="B31" s="39"/>
      <c r="C31" s="39"/>
      <c r="D31" s="39"/>
      <c r="E31" s="39"/>
      <c r="F31" s="44">
        <f t="shared" ref="F31" si="17">D31*E31</f>
        <v>0</v>
      </c>
      <c r="G31" s="45">
        <v>2685</v>
      </c>
      <c r="H31" s="40"/>
      <c r="I31" s="44">
        <f>H31*G31</f>
        <v>0</v>
      </c>
      <c r="J31" s="44"/>
      <c r="K31" s="41">
        <f t="shared" ref="K31:K32" si="18">H31*J31</f>
        <v>0</v>
      </c>
      <c r="L31" s="44">
        <f t="shared" ref="L31:L34" si="19">F31+I31+K31</f>
        <v>0</v>
      </c>
    </row>
    <row r="32" spans="1:19">
      <c r="A32" s="39" t="s">
        <v>45</v>
      </c>
      <c r="B32" s="39"/>
      <c r="C32" s="39"/>
      <c r="D32" s="39"/>
      <c r="E32" s="39"/>
      <c r="F32" s="44">
        <v>0</v>
      </c>
      <c r="G32" s="45">
        <v>4800</v>
      </c>
      <c r="H32" s="40"/>
      <c r="I32" s="44">
        <f>G32*H32</f>
        <v>0</v>
      </c>
      <c r="J32" s="44"/>
      <c r="K32" s="41">
        <f t="shared" si="18"/>
        <v>0</v>
      </c>
      <c r="L32" s="44">
        <f t="shared" si="19"/>
        <v>0</v>
      </c>
    </row>
    <row r="33" spans="1:12">
      <c r="A33" s="39" t="s">
        <v>47</v>
      </c>
      <c r="B33" s="39"/>
      <c r="C33" s="39"/>
      <c r="D33" s="39"/>
      <c r="E33" s="39"/>
      <c r="F33" s="44">
        <f t="shared" ref="F33" si="20">D33*E33</f>
        <v>0</v>
      </c>
      <c r="G33" s="45">
        <v>1980</v>
      </c>
      <c r="H33" s="40"/>
      <c r="I33" s="44">
        <f t="shared" ref="I33:I34" si="21">H33*G33</f>
        <v>0</v>
      </c>
      <c r="J33" s="44"/>
      <c r="K33" s="41">
        <f t="shared" ref="K33" si="22">H33*J33</f>
        <v>0</v>
      </c>
      <c r="L33" s="44">
        <f t="shared" si="19"/>
        <v>0</v>
      </c>
    </row>
    <row r="34" ht="29.55" spans="1:12">
      <c r="A34" s="39" t="s">
        <v>48</v>
      </c>
      <c r="B34" s="39" t="s">
        <v>46</v>
      </c>
      <c r="C34" s="39"/>
      <c r="D34" s="39">
        <f>VLOOKUP(B34,'Цены на металл'!$A$36:$B$39,2,0)</f>
        <v>500</v>
      </c>
      <c r="E34" s="39"/>
      <c r="F34" s="44">
        <f>E34*0.3*D34</f>
        <v>0</v>
      </c>
      <c r="G34" s="45">
        <v>2500</v>
      </c>
      <c r="H34" s="40">
        <f>E34/5.53</f>
        <v>0</v>
      </c>
      <c r="I34" s="44">
        <f t="shared" si="21"/>
        <v>0</v>
      </c>
      <c r="J34" s="44"/>
      <c r="K34" s="48">
        <f>J34*H34</f>
        <v>0</v>
      </c>
      <c r="L34" s="49">
        <f t="shared" si="19"/>
        <v>0</v>
      </c>
    </row>
    <row r="35" ht="15.15" spans="1:12">
      <c r="K35" s="50">
        <f>SUM(K30:K34)</f>
        <v>0</v>
      </c>
      <c r="L35" s="51">
        <f>SUM(L30:L34)</f>
        <v>0</v>
      </c>
    </row>
    <row r="37" spans="1:12">
      <c r="A37" s="38">
        <v>5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ht="59.25" customHeight="1" spans="1:12">
      <c r="A38" s="39" t="s">
        <v>23</v>
      </c>
      <c r="B38" s="39" t="s">
        <v>24</v>
      </c>
      <c r="C38" s="39" t="s">
        <v>25</v>
      </c>
      <c r="D38" s="39" t="s">
        <v>26</v>
      </c>
      <c r="E38" s="39" t="s">
        <v>27</v>
      </c>
      <c r="F38" s="13" t="s">
        <v>28</v>
      </c>
      <c r="G38" s="13" t="s">
        <v>29</v>
      </c>
      <c r="H38" s="40" t="s">
        <v>30</v>
      </c>
      <c r="I38" s="13" t="s">
        <v>31</v>
      </c>
      <c r="J38" s="13" t="s">
        <v>32</v>
      </c>
      <c r="K38" s="41" t="s">
        <v>33</v>
      </c>
      <c r="L38" s="13" t="s">
        <v>34</v>
      </c>
    </row>
    <row r="39" spans="1:12">
      <c r="A39" s="39" t="s">
        <v>40</v>
      </c>
      <c r="B39" s="39"/>
      <c r="C39" s="43" t="s">
        <v>41</v>
      </c>
      <c r="D39" s="13">
        <f>VLOOKUP(C39,'Цены на металл'!$A$3:$H$30,7,0)</f>
        <v>0</v>
      </c>
      <c r="E39" s="39"/>
      <c r="F39" s="44">
        <f>D39*E39</f>
        <v>0</v>
      </c>
      <c r="G39" s="45">
        <v>4800</v>
      </c>
      <c r="H39" s="40"/>
      <c r="I39" s="44">
        <f>H39*G39</f>
        <v>0</v>
      </c>
      <c r="J39" s="44"/>
      <c r="K39" s="41">
        <f>H39*J39</f>
        <v>0</v>
      </c>
      <c r="L39" s="44">
        <f>F39+I39+K39</f>
        <v>0</v>
      </c>
    </row>
    <row r="40" spans="1:12">
      <c r="A40" s="39" t="s">
        <v>43</v>
      </c>
      <c r="B40" s="39"/>
      <c r="C40" s="39"/>
      <c r="D40" s="39"/>
      <c r="E40" s="39"/>
      <c r="F40" s="44">
        <f t="shared" ref="F40" si="23">D40*E40</f>
        <v>0</v>
      </c>
      <c r="G40" s="45">
        <v>2685</v>
      </c>
      <c r="H40" s="40"/>
      <c r="I40" s="44">
        <f>H40*G40</f>
        <v>0</v>
      </c>
      <c r="J40" s="44"/>
      <c r="K40" s="41">
        <f t="shared" ref="K40:K41" si="24">H40*J40</f>
        <v>0</v>
      </c>
      <c r="L40" s="44">
        <f t="shared" ref="L40:L43" si="25">F40+I40+K40</f>
        <v>0</v>
      </c>
    </row>
    <row r="41" spans="1:12">
      <c r="A41" s="39" t="s">
        <v>45</v>
      </c>
      <c r="B41" s="39"/>
      <c r="C41" s="39"/>
      <c r="D41" s="39"/>
      <c r="E41" s="39"/>
      <c r="F41" s="44">
        <v>0</v>
      </c>
      <c r="G41" s="45">
        <v>4800</v>
      </c>
      <c r="H41" s="40"/>
      <c r="I41" s="44">
        <f>G41*H41</f>
        <v>0</v>
      </c>
      <c r="J41" s="44"/>
      <c r="K41" s="41">
        <f t="shared" si="24"/>
        <v>0</v>
      </c>
      <c r="L41" s="44">
        <f t="shared" si="25"/>
        <v>0</v>
      </c>
    </row>
    <row r="42" spans="1:12">
      <c r="A42" s="39" t="s">
        <v>47</v>
      </c>
      <c r="B42" s="39"/>
      <c r="C42" s="39"/>
      <c r="D42" s="39"/>
      <c r="E42" s="39"/>
      <c r="F42" s="44">
        <f t="shared" ref="F42" si="26">D42*E42</f>
        <v>0</v>
      </c>
      <c r="G42" s="45">
        <v>1980</v>
      </c>
      <c r="H42" s="40"/>
      <c r="I42" s="44">
        <f t="shared" ref="I42:I43" si="27">H42*G42</f>
        <v>0</v>
      </c>
      <c r="J42" s="44"/>
      <c r="K42" s="41">
        <f t="shared" ref="K42" si="28">H42*J42</f>
        <v>0</v>
      </c>
      <c r="L42" s="44">
        <f t="shared" si="25"/>
        <v>0</v>
      </c>
    </row>
    <row r="43" ht="29.55" spans="1:12">
      <c r="A43" s="39" t="s">
        <v>48</v>
      </c>
      <c r="B43" s="39" t="s">
        <v>46</v>
      </c>
      <c r="C43" s="39"/>
      <c r="D43" s="39">
        <f>VLOOKUP(B43,'Цены на металл'!$A$36:$B$39,2,0)</f>
        <v>500</v>
      </c>
      <c r="E43" s="39"/>
      <c r="F43" s="44">
        <f>E43*0.3*D43</f>
        <v>0</v>
      </c>
      <c r="G43" s="45">
        <v>2500</v>
      </c>
      <c r="H43" s="40">
        <f>E43/5.53</f>
        <v>0</v>
      </c>
      <c r="I43" s="44">
        <f t="shared" si="27"/>
        <v>0</v>
      </c>
      <c r="J43" s="44"/>
      <c r="K43" s="48">
        <f>J43*H43</f>
        <v>0</v>
      </c>
      <c r="L43" s="49">
        <f t="shared" si="25"/>
        <v>0</v>
      </c>
    </row>
    <row r="44" ht="15.15" spans="1:12">
      <c r="K44" s="50">
        <f>SUM(K39:K43)</f>
        <v>0</v>
      </c>
      <c r="L44" s="51">
        <f>SUM(L39:L43)</f>
        <v>0</v>
      </c>
    </row>
    <row r="46" spans="1:12">
      <c r="A46" s="38">
        <v>6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ht="60" customHeight="1" spans="1:12">
      <c r="A47" s="39" t="s">
        <v>23</v>
      </c>
      <c r="B47" s="39" t="s">
        <v>24</v>
      </c>
      <c r="C47" s="39" t="s">
        <v>25</v>
      </c>
      <c r="D47" s="39" t="s">
        <v>26</v>
      </c>
      <c r="E47" s="39" t="s">
        <v>27</v>
      </c>
      <c r="F47" s="13" t="s">
        <v>28</v>
      </c>
      <c r="G47" s="13" t="s">
        <v>29</v>
      </c>
      <c r="H47" s="40" t="s">
        <v>30</v>
      </c>
      <c r="I47" s="13" t="s">
        <v>31</v>
      </c>
      <c r="J47" s="13" t="s">
        <v>32</v>
      </c>
      <c r="K47" s="41" t="s">
        <v>33</v>
      </c>
      <c r="L47" s="13" t="s">
        <v>34</v>
      </c>
    </row>
    <row r="48" spans="1:12">
      <c r="A48" s="39" t="s">
        <v>40</v>
      </c>
      <c r="B48" s="39"/>
      <c r="C48" s="43" t="s">
        <v>41</v>
      </c>
      <c r="D48" s="13">
        <f>VLOOKUP(C48,'Цены на металл'!$A$3:$H$30,7,0)</f>
        <v>0</v>
      </c>
      <c r="E48" s="39"/>
      <c r="F48" s="44">
        <f>D48*E48</f>
        <v>0</v>
      </c>
      <c r="G48" s="45">
        <v>4800</v>
      </c>
      <c r="H48" s="40"/>
      <c r="I48" s="44">
        <f>H48*G48</f>
        <v>0</v>
      </c>
      <c r="J48" s="44"/>
      <c r="K48" s="41">
        <f>H48*J48</f>
        <v>0</v>
      </c>
      <c r="L48" s="44">
        <f>F48+I48+K48</f>
        <v>0</v>
      </c>
    </row>
    <row r="49" spans="1:12">
      <c r="A49" s="39" t="s">
        <v>43</v>
      </c>
      <c r="B49" s="39"/>
      <c r="C49" s="39"/>
      <c r="D49" s="39"/>
      <c r="E49" s="39"/>
      <c r="F49" s="44">
        <f t="shared" ref="F49" si="29">D49*E49</f>
        <v>0</v>
      </c>
      <c r="G49" s="45">
        <v>2685</v>
      </c>
      <c r="H49" s="40"/>
      <c r="I49" s="44">
        <f>H49*G49</f>
        <v>0</v>
      </c>
      <c r="J49" s="44"/>
      <c r="K49" s="41">
        <f t="shared" ref="K49:K50" si="30">H49*J49</f>
        <v>0</v>
      </c>
      <c r="L49" s="44">
        <f t="shared" ref="L49:L52" si="31">F49+I49+K49</f>
        <v>0</v>
      </c>
    </row>
    <row r="50" spans="1:12">
      <c r="A50" s="39" t="s">
        <v>45</v>
      </c>
      <c r="B50" s="39"/>
      <c r="C50" s="39"/>
      <c r="D50" s="39"/>
      <c r="E50" s="39"/>
      <c r="F50" s="44">
        <v>0</v>
      </c>
      <c r="G50" s="45">
        <v>4800</v>
      </c>
      <c r="H50" s="40"/>
      <c r="I50" s="44">
        <f>G50*H50</f>
        <v>0</v>
      </c>
      <c r="J50" s="44"/>
      <c r="K50" s="41">
        <f t="shared" si="30"/>
        <v>0</v>
      </c>
      <c r="L50" s="44">
        <f t="shared" si="31"/>
        <v>0</v>
      </c>
    </row>
    <row r="51" spans="1:12">
      <c r="A51" s="39" t="s">
        <v>47</v>
      </c>
      <c r="B51" s="39"/>
      <c r="C51" s="39"/>
      <c r="D51" s="39"/>
      <c r="E51" s="39"/>
      <c r="F51" s="44">
        <f t="shared" ref="F51" si="32">D51*E51</f>
        <v>0</v>
      </c>
      <c r="G51" s="45">
        <v>1980</v>
      </c>
      <c r="H51" s="40"/>
      <c r="I51" s="44">
        <f t="shared" ref="I51:I52" si="33">H51*G51</f>
        <v>0</v>
      </c>
      <c r="J51" s="44"/>
      <c r="K51" s="41">
        <f t="shared" ref="K51" si="34">H51*J51</f>
        <v>0</v>
      </c>
      <c r="L51" s="44">
        <f t="shared" si="31"/>
        <v>0</v>
      </c>
    </row>
    <row r="52" ht="29.55" spans="1:12">
      <c r="A52" s="39" t="s">
        <v>48</v>
      </c>
      <c r="B52" s="39" t="s">
        <v>46</v>
      </c>
      <c r="C52" s="39"/>
      <c r="D52" s="39">
        <f>VLOOKUP(B52,'Цены на металл'!$A$36:$B$39,2,0)</f>
        <v>500</v>
      </c>
      <c r="E52" s="39"/>
      <c r="F52" s="44">
        <f>E52*0.3*D52</f>
        <v>0</v>
      </c>
      <c r="G52" s="45">
        <v>2500</v>
      </c>
      <c r="H52" s="40">
        <f>E52/5.53</f>
        <v>0</v>
      </c>
      <c r="I52" s="44">
        <f t="shared" si="33"/>
        <v>0</v>
      </c>
      <c r="J52" s="44"/>
      <c r="K52" s="48">
        <f>J52*H52</f>
        <v>0</v>
      </c>
      <c r="L52" s="49">
        <f t="shared" si="31"/>
        <v>0</v>
      </c>
    </row>
    <row r="53" ht="15.15" spans="1:12">
      <c r="K53" s="50">
        <f>SUM(K48:K52)</f>
        <v>0</v>
      </c>
      <c r="L53" s="51">
        <f>SUM(L48:L52)</f>
        <v>0</v>
      </c>
    </row>
    <row r="55" spans="1:12">
      <c r="A55" s="38">
        <v>7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</row>
    <row r="56" ht="32.25" customHeight="1" spans="1:12">
      <c r="A56" s="39" t="s">
        <v>23</v>
      </c>
      <c r="B56" s="39" t="s">
        <v>24</v>
      </c>
      <c r="C56" s="39" t="s">
        <v>25</v>
      </c>
      <c r="D56" s="39" t="s">
        <v>26</v>
      </c>
      <c r="E56" s="39" t="s">
        <v>27</v>
      </c>
      <c r="F56" s="13" t="s">
        <v>28</v>
      </c>
      <c r="G56" s="13" t="s">
        <v>29</v>
      </c>
      <c r="H56" s="40" t="s">
        <v>30</v>
      </c>
      <c r="I56" s="13" t="s">
        <v>31</v>
      </c>
      <c r="J56" s="13" t="s">
        <v>32</v>
      </c>
      <c r="K56" s="41" t="s">
        <v>33</v>
      </c>
      <c r="L56" s="13" t="s">
        <v>34</v>
      </c>
    </row>
    <row r="57" spans="1:12">
      <c r="A57" s="39" t="s">
        <v>40</v>
      </c>
      <c r="B57" s="39"/>
      <c r="C57" s="43" t="s">
        <v>41</v>
      </c>
      <c r="D57" s="13">
        <f>VLOOKUP(C57,'Цены на металл'!$A$3:$H$30,7,0)</f>
        <v>0</v>
      </c>
      <c r="E57" s="39"/>
      <c r="F57" s="44">
        <f>D57*E57</f>
        <v>0</v>
      </c>
      <c r="G57" s="45">
        <v>4800</v>
      </c>
      <c r="H57" s="40"/>
      <c r="I57" s="44">
        <f>H57*G57</f>
        <v>0</v>
      </c>
      <c r="J57" s="44"/>
      <c r="K57" s="41">
        <f>H57*J57</f>
        <v>0</v>
      </c>
      <c r="L57" s="44">
        <f>F57+I57+K57</f>
        <v>0</v>
      </c>
    </row>
    <row r="58" spans="1:12">
      <c r="A58" s="39" t="s">
        <v>43</v>
      </c>
      <c r="B58" s="39"/>
      <c r="C58" s="39"/>
      <c r="D58" s="39"/>
      <c r="E58" s="39"/>
      <c r="F58" s="44">
        <f t="shared" ref="F58" si="35">D58*E58</f>
        <v>0</v>
      </c>
      <c r="G58" s="45">
        <v>2685</v>
      </c>
      <c r="H58" s="40"/>
      <c r="I58" s="44">
        <f>H58*G58</f>
        <v>0</v>
      </c>
      <c r="J58" s="44"/>
      <c r="K58" s="41">
        <f t="shared" ref="K58:K59" si="36">H58*J58</f>
        <v>0</v>
      </c>
      <c r="L58" s="44">
        <f t="shared" ref="L58:L61" si="37">F58+I58+K58</f>
        <v>0</v>
      </c>
    </row>
    <row r="59" spans="1:12">
      <c r="A59" s="39" t="s">
        <v>45</v>
      </c>
      <c r="B59" s="39"/>
      <c r="C59" s="39"/>
      <c r="D59" s="39"/>
      <c r="E59" s="39"/>
      <c r="F59" s="44">
        <v>0</v>
      </c>
      <c r="G59" s="45">
        <v>4800</v>
      </c>
      <c r="H59" s="40"/>
      <c r="I59" s="44">
        <f>G59*H59</f>
        <v>0</v>
      </c>
      <c r="J59" s="44"/>
      <c r="K59" s="41">
        <f t="shared" si="36"/>
        <v>0</v>
      </c>
      <c r="L59" s="44">
        <f t="shared" si="37"/>
        <v>0</v>
      </c>
    </row>
    <row r="60" spans="1:12">
      <c r="A60" s="39" t="s">
        <v>47</v>
      </c>
      <c r="B60" s="39"/>
      <c r="C60" s="39"/>
      <c r="D60" s="39"/>
      <c r="E60" s="39"/>
      <c r="F60" s="44">
        <f t="shared" ref="F60" si="38">D60*E60</f>
        <v>0</v>
      </c>
      <c r="G60" s="45">
        <v>1980</v>
      </c>
      <c r="H60" s="40"/>
      <c r="I60" s="44">
        <f t="shared" ref="I60:I61" si="39">H60*G60</f>
        <v>0</v>
      </c>
      <c r="J60" s="44"/>
      <c r="K60" s="41">
        <f t="shared" ref="K60" si="40">H60*J60</f>
        <v>0</v>
      </c>
      <c r="L60" s="44">
        <f t="shared" si="37"/>
        <v>0</v>
      </c>
    </row>
    <row r="61" ht="29.55" spans="1:12">
      <c r="A61" s="39" t="s">
        <v>48</v>
      </c>
      <c r="B61" s="39" t="s">
        <v>46</v>
      </c>
      <c r="C61" s="39"/>
      <c r="D61" s="39">
        <f>VLOOKUP(B61,'Цены на металл'!$A$36:$B$39,2,0)</f>
        <v>500</v>
      </c>
      <c r="E61" s="39"/>
      <c r="F61" s="44">
        <f>E61*0.3*D61</f>
        <v>0</v>
      </c>
      <c r="G61" s="45">
        <v>2500</v>
      </c>
      <c r="H61" s="40">
        <f>E61/5.53</f>
        <v>0</v>
      </c>
      <c r="I61" s="44">
        <f t="shared" si="39"/>
        <v>0</v>
      </c>
      <c r="J61" s="44"/>
      <c r="K61" s="48">
        <f>J61*H61</f>
        <v>0</v>
      </c>
      <c r="L61" s="49">
        <f t="shared" si="37"/>
        <v>0</v>
      </c>
    </row>
    <row r="62" ht="15.15" spans="1:12">
      <c r="K62" s="50">
        <f>SUM(K57:K61)</f>
        <v>0</v>
      </c>
      <c r="L62" s="51">
        <f>SUM(L57:L61)</f>
        <v>0</v>
      </c>
    </row>
    <row r="64" spans="1:12">
      <c r="A64" s="38">
        <v>8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</row>
    <row r="65" ht="45.75" customHeight="1" spans="1:12">
      <c r="A65" s="39" t="s">
        <v>23</v>
      </c>
      <c r="B65" s="39" t="s">
        <v>24</v>
      </c>
      <c r="C65" s="39" t="s">
        <v>25</v>
      </c>
      <c r="D65" s="39" t="s">
        <v>26</v>
      </c>
      <c r="E65" s="39" t="s">
        <v>27</v>
      </c>
      <c r="F65" s="13" t="s">
        <v>28</v>
      </c>
      <c r="G65" s="13" t="s">
        <v>29</v>
      </c>
      <c r="H65" s="40" t="s">
        <v>30</v>
      </c>
      <c r="I65" s="13" t="s">
        <v>31</v>
      </c>
      <c r="J65" s="13" t="s">
        <v>32</v>
      </c>
      <c r="K65" s="41" t="s">
        <v>33</v>
      </c>
      <c r="L65" s="13" t="s">
        <v>34</v>
      </c>
    </row>
    <row r="66" spans="1:12">
      <c r="A66" s="39" t="s">
        <v>40</v>
      </c>
      <c r="B66" s="39"/>
      <c r="C66" s="43" t="s">
        <v>41</v>
      </c>
      <c r="D66" s="13">
        <f>VLOOKUP(C66,'Цены на металл'!$A$3:$H$30,7,0)</f>
        <v>0</v>
      </c>
      <c r="E66" s="39"/>
      <c r="F66" s="44">
        <f>D66*E66</f>
        <v>0</v>
      </c>
      <c r="G66" s="45">
        <v>4800</v>
      </c>
      <c r="H66" s="40"/>
      <c r="I66" s="44">
        <f>H66*G66</f>
        <v>0</v>
      </c>
      <c r="J66" s="44"/>
      <c r="K66" s="41">
        <f>H66*J66</f>
        <v>0</v>
      </c>
      <c r="L66" s="44">
        <f>F66+I66+K66</f>
        <v>0</v>
      </c>
    </row>
    <row r="67" spans="1:12">
      <c r="A67" s="39" t="s">
        <v>43</v>
      </c>
      <c r="B67" s="39"/>
      <c r="C67" s="39"/>
      <c r="D67" s="39"/>
      <c r="E67" s="39"/>
      <c r="F67" s="44">
        <f t="shared" ref="F67" si="41">D67*E67</f>
        <v>0</v>
      </c>
      <c r="G67" s="45">
        <v>2685</v>
      </c>
      <c r="H67" s="40"/>
      <c r="I67" s="44">
        <f>H67*G67</f>
        <v>0</v>
      </c>
      <c r="J67" s="44"/>
      <c r="K67" s="41">
        <f t="shared" ref="K67:K68" si="42">H67*J67</f>
        <v>0</v>
      </c>
      <c r="L67" s="44">
        <f t="shared" ref="L67:L70" si="43">F67+I67+K67</f>
        <v>0</v>
      </c>
    </row>
    <row r="68" spans="1:12">
      <c r="A68" s="39" t="s">
        <v>45</v>
      </c>
      <c r="B68" s="39"/>
      <c r="C68" s="39"/>
      <c r="D68" s="39"/>
      <c r="E68" s="39"/>
      <c r="F68" s="44">
        <v>0</v>
      </c>
      <c r="G68" s="45">
        <v>4800</v>
      </c>
      <c r="H68" s="40"/>
      <c r="I68" s="44">
        <f>G68*H68</f>
        <v>0</v>
      </c>
      <c r="J68" s="44"/>
      <c r="K68" s="41">
        <f t="shared" si="42"/>
        <v>0</v>
      </c>
      <c r="L68" s="44">
        <f t="shared" si="43"/>
        <v>0</v>
      </c>
    </row>
    <row r="69" spans="1:12">
      <c r="A69" s="39" t="s">
        <v>47</v>
      </c>
      <c r="B69" s="39"/>
      <c r="C69" s="39"/>
      <c r="D69" s="39"/>
      <c r="E69" s="39"/>
      <c r="F69" s="44">
        <f t="shared" ref="F69" si="44">D69*E69</f>
        <v>0</v>
      </c>
      <c r="G69" s="45">
        <v>1980</v>
      </c>
      <c r="H69" s="40"/>
      <c r="I69" s="44">
        <f t="shared" ref="I69:I70" si="45">H69*G69</f>
        <v>0</v>
      </c>
      <c r="J69" s="44"/>
      <c r="K69" s="41">
        <f t="shared" ref="K69" si="46">H69*J69</f>
        <v>0</v>
      </c>
      <c r="L69" s="44">
        <f t="shared" si="43"/>
        <v>0</v>
      </c>
    </row>
    <row r="70" ht="29.55" spans="1:12">
      <c r="A70" s="39" t="s">
        <v>48</v>
      </c>
      <c r="B70" s="39" t="s">
        <v>46</v>
      </c>
      <c r="C70" s="39"/>
      <c r="D70" s="39">
        <f>VLOOKUP(B70,'Цены на металл'!$A$36:$B$39,2,0)</f>
        <v>500</v>
      </c>
      <c r="E70" s="39"/>
      <c r="F70" s="44">
        <f>E70*0.3*D70</f>
        <v>0</v>
      </c>
      <c r="G70" s="45">
        <v>2500</v>
      </c>
      <c r="H70" s="40">
        <f>E70/5.53</f>
        <v>0</v>
      </c>
      <c r="I70" s="44">
        <f t="shared" si="45"/>
        <v>0</v>
      </c>
      <c r="J70" s="44"/>
      <c r="K70" s="48">
        <f>J70*H70</f>
        <v>0</v>
      </c>
      <c r="L70" s="49">
        <f t="shared" si="43"/>
        <v>0</v>
      </c>
    </row>
    <row r="71" ht="15.15" spans="1:12">
      <c r="K71" s="50">
        <f>SUM(K66:K70)</f>
        <v>0</v>
      </c>
      <c r="L71" s="51">
        <f>SUM(L66:L70)</f>
        <v>0</v>
      </c>
    </row>
    <row r="73" spans="1:12">
      <c r="A73" s="38">
        <v>9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</row>
    <row r="74" ht="48" customHeight="1" spans="1:12">
      <c r="A74" s="39" t="s">
        <v>23</v>
      </c>
      <c r="B74" s="39" t="s">
        <v>24</v>
      </c>
      <c r="C74" s="39" t="s">
        <v>25</v>
      </c>
      <c r="D74" s="39" t="s">
        <v>26</v>
      </c>
      <c r="E74" s="39" t="s">
        <v>27</v>
      </c>
      <c r="F74" s="13" t="s">
        <v>28</v>
      </c>
      <c r="G74" s="13" t="s">
        <v>29</v>
      </c>
      <c r="H74" s="40" t="s">
        <v>30</v>
      </c>
      <c r="I74" s="13" t="s">
        <v>31</v>
      </c>
      <c r="J74" s="13" t="s">
        <v>32</v>
      </c>
      <c r="K74" s="41" t="s">
        <v>33</v>
      </c>
      <c r="L74" s="13" t="s">
        <v>34</v>
      </c>
    </row>
    <row r="75" spans="1:12">
      <c r="A75" s="39" t="s">
        <v>40</v>
      </c>
      <c r="B75" s="39"/>
      <c r="C75" s="43" t="s">
        <v>41</v>
      </c>
      <c r="D75" s="13">
        <f>VLOOKUP(C75,'Цены на металл'!$A$3:$H$30,7,0)</f>
        <v>0</v>
      </c>
      <c r="E75" s="39"/>
      <c r="F75" s="44">
        <f>D75*E75</f>
        <v>0</v>
      </c>
      <c r="G75" s="45">
        <v>4800</v>
      </c>
      <c r="H75" s="40"/>
      <c r="I75" s="44">
        <f>H75*G75</f>
        <v>0</v>
      </c>
      <c r="J75" s="44"/>
      <c r="K75" s="41">
        <f>H75*J75</f>
        <v>0</v>
      </c>
      <c r="L75" s="44">
        <f>F75+I75+K75</f>
        <v>0</v>
      </c>
    </row>
    <row r="76" spans="1:12">
      <c r="A76" s="39" t="s">
        <v>43</v>
      </c>
      <c r="B76" s="39"/>
      <c r="C76" s="39"/>
      <c r="D76" s="39"/>
      <c r="E76" s="39"/>
      <c r="F76" s="44">
        <f t="shared" ref="F76" si="47">D76*E76</f>
        <v>0</v>
      </c>
      <c r="G76" s="45">
        <v>2685</v>
      </c>
      <c r="H76" s="40"/>
      <c r="I76" s="44">
        <f>H76*G76</f>
        <v>0</v>
      </c>
      <c r="J76" s="44"/>
      <c r="K76" s="41">
        <f t="shared" ref="K76:K77" si="48">H76*J76</f>
        <v>0</v>
      </c>
      <c r="L76" s="44">
        <f t="shared" ref="L76:L79" si="49">F76+I76+K76</f>
        <v>0</v>
      </c>
    </row>
    <row r="77" spans="1:12">
      <c r="A77" s="39" t="s">
        <v>45</v>
      </c>
      <c r="B77" s="39"/>
      <c r="C77" s="39"/>
      <c r="D77" s="39"/>
      <c r="E77" s="39"/>
      <c r="F77" s="44">
        <v>0</v>
      </c>
      <c r="G77" s="45">
        <v>4800</v>
      </c>
      <c r="H77" s="40"/>
      <c r="I77" s="44">
        <f>G77*H77</f>
        <v>0</v>
      </c>
      <c r="J77" s="44"/>
      <c r="K77" s="41">
        <f t="shared" si="48"/>
        <v>0</v>
      </c>
      <c r="L77" s="44">
        <f t="shared" si="49"/>
        <v>0</v>
      </c>
    </row>
    <row r="78" spans="1:12">
      <c r="A78" s="39" t="s">
        <v>47</v>
      </c>
      <c r="B78" s="39"/>
      <c r="C78" s="39"/>
      <c r="D78" s="39"/>
      <c r="E78" s="39"/>
      <c r="F78" s="44">
        <f t="shared" ref="F78" si="50">D78*E78</f>
        <v>0</v>
      </c>
      <c r="G78" s="45">
        <v>1980</v>
      </c>
      <c r="H78" s="40"/>
      <c r="I78" s="44">
        <f t="shared" ref="I78:I79" si="51">H78*G78</f>
        <v>0</v>
      </c>
      <c r="J78" s="44"/>
      <c r="K78" s="41">
        <f t="shared" ref="K78" si="52">H78*J78</f>
        <v>0</v>
      </c>
      <c r="L78" s="44">
        <f t="shared" si="49"/>
        <v>0</v>
      </c>
    </row>
    <row r="79" ht="29.55" spans="1:12">
      <c r="A79" s="39" t="s">
        <v>48</v>
      </c>
      <c r="B79" s="39" t="s">
        <v>46</v>
      </c>
      <c r="C79" s="39"/>
      <c r="D79" s="39">
        <f>VLOOKUP(B79,'Цены на металл'!$A$36:$B$39,2,0)</f>
        <v>500</v>
      </c>
      <c r="E79" s="39"/>
      <c r="F79" s="44">
        <f>E79*0.3*D79</f>
        <v>0</v>
      </c>
      <c r="G79" s="45">
        <v>2500</v>
      </c>
      <c r="H79" s="40">
        <f>E79/5.53</f>
        <v>0</v>
      </c>
      <c r="I79" s="44">
        <f t="shared" si="51"/>
        <v>0</v>
      </c>
      <c r="J79" s="44"/>
      <c r="K79" s="48">
        <f>J79*H79</f>
        <v>0</v>
      </c>
      <c r="L79" s="49">
        <f t="shared" si="49"/>
        <v>0</v>
      </c>
    </row>
    <row r="80" ht="15.15" spans="1:12">
      <c r="K80" s="50">
        <f>SUM(K75:K79)</f>
        <v>0</v>
      </c>
      <c r="L80" s="51">
        <f>SUM(L75:L79)</f>
        <v>0</v>
      </c>
    </row>
    <row r="82" spans="1:12">
      <c r="A82" s="38">
        <v>10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</row>
    <row r="83" ht="42.75" customHeight="1" spans="1:12">
      <c r="A83" s="39" t="s">
        <v>23</v>
      </c>
      <c r="B83" s="39" t="s">
        <v>24</v>
      </c>
      <c r="C83" s="39" t="s">
        <v>25</v>
      </c>
      <c r="D83" s="39" t="s">
        <v>26</v>
      </c>
      <c r="E83" s="39" t="s">
        <v>27</v>
      </c>
      <c r="F83" s="13" t="s">
        <v>28</v>
      </c>
      <c r="G83" s="13" t="s">
        <v>29</v>
      </c>
      <c r="H83" s="40" t="s">
        <v>30</v>
      </c>
      <c r="I83" s="13" t="s">
        <v>31</v>
      </c>
      <c r="J83" s="13" t="s">
        <v>32</v>
      </c>
      <c r="K83" s="41" t="s">
        <v>33</v>
      </c>
      <c r="L83" s="13" t="s">
        <v>34</v>
      </c>
    </row>
    <row r="84" spans="1:12">
      <c r="A84" s="39" t="s">
        <v>40</v>
      </c>
      <c r="B84" s="39"/>
      <c r="C84" s="43" t="s">
        <v>41</v>
      </c>
      <c r="D84" s="13">
        <f>VLOOKUP(C84,'Цены на металл'!$A$3:$H$30,7,0)</f>
        <v>0</v>
      </c>
      <c r="E84" s="39"/>
      <c r="F84" s="44">
        <f>D84*E84</f>
        <v>0</v>
      </c>
      <c r="G84" s="45">
        <v>4800</v>
      </c>
      <c r="H84" s="40"/>
      <c r="I84" s="44">
        <f>H84*G84</f>
        <v>0</v>
      </c>
      <c r="J84" s="44"/>
      <c r="K84" s="41">
        <f>H84*J84</f>
        <v>0</v>
      </c>
      <c r="L84" s="44">
        <f>F84+I84+K84</f>
        <v>0</v>
      </c>
    </row>
    <row r="85" spans="1:12">
      <c r="A85" s="39" t="s">
        <v>43</v>
      </c>
      <c r="B85" s="39"/>
      <c r="C85" s="39"/>
      <c r="D85" s="39"/>
      <c r="E85" s="39"/>
      <c r="F85" s="44">
        <f t="shared" ref="F85" si="53">D85*E85</f>
        <v>0</v>
      </c>
      <c r="G85" s="45">
        <v>2685</v>
      </c>
      <c r="H85" s="40"/>
      <c r="I85" s="44">
        <f>H85*G85</f>
        <v>0</v>
      </c>
      <c r="J85" s="44"/>
      <c r="K85" s="41">
        <f t="shared" ref="K85:K86" si="54">H85*J85</f>
        <v>0</v>
      </c>
      <c r="L85" s="44">
        <f t="shared" ref="L85:L88" si="55">F85+I85+K85</f>
        <v>0</v>
      </c>
    </row>
    <row r="86" spans="1:12">
      <c r="A86" s="39" t="s">
        <v>45</v>
      </c>
      <c r="B86" s="39"/>
      <c r="C86" s="39"/>
      <c r="D86" s="39"/>
      <c r="E86" s="39"/>
      <c r="F86" s="44">
        <v>0</v>
      </c>
      <c r="G86" s="45">
        <v>4800</v>
      </c>
      <c r="H86" s="40"/>
      <c r="I86" s="44">
        <f>G86*H86</f>
        <v>0</v>
      </c>
      <c r="J86" s="44"/>
      <c r="K86" s="41">
        <f t="shared" si="54"/>
        <v>0</v>
      </c>
      <c r="L86" s="44">
        <f t="shared" si="55"/>
        <v>0</v>
      </c>
    </row>
    <row r="87" spans="1:12">
      <c r="A87" s="39" t="s">
        <v>47</v>
      </c>
      <c r="B87" s="39"/>
      <c r="C87" s="39"/>
      <c r="D87" s="39"/>
      <c r="E87" s="39"/>
      <c r="F87" s="44">
        <f t="shared" ref="F87" si="56">D87*E87</f>
        <v>0</v>
      </c>
      <c r="G87" s="45">
        <v>1980</v>
      </c>
      <c r="H87" s="40"/>
      <c r="I87" s="44">
        <f t="shared" ref="I87:I88" si="57">H87*G87</f>
        <v>0</v>
      </c>
      <c r="J87" s="44"/>
      <c r="K87" s="41">
        <f t="shared" ref="K87" si="58">H87*J87</f>
        <v>0</v>
      </c>
      <c r="L87" s="44">
        <f t="shared" si="55"/>
        <v>0</v>
      </c>
    </row>
    <row r="88" ht="29.55" spans="1:12">
      <c r="A88" s="39" t="s">
        <v>48</v>
      </c>
      <c r="B88" s="39" t="s">
        <v>46</v>
      </c>
      <c r="C88" s="39"/>
      <c r="D88" s="39">
        <f>VLOOKUP(B88,'Цены на металл'!$A$36:$B$39,2,0)</f>
        <v>500</v>
      </c>
      <c r="E88" s="39"/>
      <c r="F88" s="44">
        <f>E88*0.3*D88</f>
        <v>0</v>
      </c>
      <c r="G88" s="45">
        <v>2500</v>
      </c>
      <c r="H88" s="40">
        <f>E88/5.53</f>
        <v>0</v>
      </c>
      <c r="I88" s="44">
        <f t="shared" si="57"/>
        <v>0</v>
      </c>
      <c r="J88" s="44"/>
      <c r="K88" s="48">
        <f>J88*H88</f>
        <v>0</v>
      </c>
      <c r="L88" s="49">
        <f t="shared" si="55"/>
        <v>0</v>
      </c>
    </row>
    <row r="89" ht="15.15" spans="1:12">
      <c r="K89" s="50">
        <f>SUM(K84:K88)</f>
        <v>0</v>
      </c>
      <c r="L89" s="51">
        <f>SUM(L84:L88)</f>
        <v>0</v>
      </c>
    </row>
  </sheetData>
  <mergeCells count="19">
    <mergeCell ref="A1:L1"/>
    <mergeCell ref="N2:O2"/>
    <mergeCell ref="A10:L10"/>
    <mergeCell ref="N11:O11"/>
    <mergeCell ref="N16:O16"/>
    <mergeCell ref="P16:Q16"/>
    <mergeCell ref="R16:S16"/>
    <mergeCell ref="A19:L19"/>
    <mergeCell ref="A28:L28"/>
    <mergeCell ref="A37:L37"/>
    <mergeCell ref="A46:L46"/>
    <mergeCell ref="A55:L55"/>
    <mergeCell ref="A64:L64"/>
    <mergeCell ref="A73:L73"/>
    <mergeCell ref="A82:L82"/>
    <mergeCell ref="N3:N7"/>
    <mergeCell ref="N8:N10"/>
    <mergeCell ref="S3:S7"/>
    <mergeCell ref="S8:S10"/>
  </mergeCells>
  <dataValidations count="2">
    <dataValidation type="list" allowBlank="1" showInputMessage="1" showErrorMessage="1" sqref="C3 C12 C21 C30 C39 C48 C57 C66 C75 C84">
      <formula1>'Цены на металл'!$A$2:$A$30</formula1>
    </dataValidation>
    <dataValidation type="list" allowBlank="1" showInputMessage="1" showErrorMessage="1" sqref="B7 B16 B25 B34 B43 B52 B61 B70 B79 B88">
      <formula1>'Цены на металл'!$A$36:$A$39</formula1>
    </dataValidation>
  </dataValidations>
  <pageMargins left="0.7" right="0.7" top="0.75" bottom="0.75" header="0.3" footer="0.3"/>
  <pageSetup paperSize="9" orientation="portrait"/>
  <headerFooter/>
  <ignoredErrors>
    <ignoredError sqref="Q5:R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7"/>
  <sheetViews>
    <sheetView tabSelected="1" workbookViewId="0">
      <selection activeCell="B4" sqref="B4:B29"/>
    </sheetView>
  </sheetViews>
  <sheetFormatPr defaultColWidth="9" defaultRowHeight="14.4"/>
  <cols>
    <col min="1" max="1" width="29.8888888888889" style="3" customWidth="1"/>
    <col min="2" max="2" width="14.3333333333333" style="4" customWidth="1"/>
    <col min="3" max="3" width="9.44444444444444" style="4" customWidth="1"/>
    <col min="4" max="4" width="8.44444444444444" style="4" customWidth="1"/>
    <col min="5" max="5" width="10" style="5" customWidth="1"/>
    <col min="6" max="6" width="19.5555555555556" style="4" customWidth="1"/>
    <col min="7" max="7" width="10.5555555555556" style="4" customWidth="1"/>
    <col min="8" max="8" width="11.1111111111111" style="6" customWidth="1"/>
    <col min="9" max="9" width="10.5555555555556" customWidth="1"/>
    <col min="10" max="10" width="17.1111111111111" hidden="1" customWidth="1"/>
    <col min="11" max="18" width="9.88888888888889" customWidth="1"/>
    <col min="19" max="20" width="11" customWidth="1"/>
    <col min="21" max="24" width="8.88888888888889" customWidth="1"/>
    <col min="25" max="25" width="21.7777777777778" customWidth="1"/>
    <col min="26" max="30" width="8.88888888888889" customWidth="1"/>
  </cols>
  <sheetData>
    <row r="1" ht="15.15"/>
    <row r="2" ht="46.5" customHeight="1" spans="1:30">
      <c r="A2" s="7" t="s">
        <v>23</v>
      </c>
      <c r="B2" s="8" t="s">
        <v>60</v>
      </c>
      <c r="C2" s="8" t="s">
        <v>61</v>
      </c>
      <c r="D2" s="8" t="s">
        <v>62</v>
      </c>
      <c r="E2" s="9" t="s">
        <v>63</v>
      </c>
      <c r="F2" s="8" t="s">
        <v>64</v>
      </c>
      <c r="G2" s="10" t="s">
        <v>65</v>
      </c>
      <c r="H2" s="11" t="s">
        <v>66</v>
      </c>
      <c r="I2" s="12" t="s">
        <v>67</v>
      </c>
      <c r="J2" s="13" t="s">
        <v>68</v>
      </c>
      <c r="K2" s="13" t="s">
        <v>69</v>
      </c>
      <c r="L2" s="14">
        <v>46239</v>
      </c>
      <c r="M2" s="15"/>
      <c r="N2" s="15"/>
      <c r="O2" s="15">
        <v>46252</v>
      </c>
      <c r="P2" s="15"/>
      <c r="Q2" s="15"/>
      <c r="R2" s="15"/>
      <c r="AB2" t="s">
        <v>70</v>
      </c>
    </row>
    <row r="3" ht="23.25" customHeight="1" spans="1:30">
      <c r="A3" s="16" t="s">
        <v>41</v>
      </c>
      <c r="H3" s="17"/>
      <c r="J3" s="2"/>
      <c r="K3" s="2"/>
      <c r="L3" s="18" t="s">
        <v>71</v>
      </c>
      <c r="M3" s="18" t="s">
        <v>72</v>
      </c>
      <c r="N3" s="18"/>
      <c r="O3" s="18" t="s">
        <v>72</v>
      </c>
      <c r="P3" s="18"/>
      <c r="Q3" s="18"/>
      <c r="R3" s="18"/>
      <c r="AB3" t="s">
        <v>73</v>
      </c>
    </row>
    <row r="4" spans="1:30">
      <c r="A4" s="19" t="s">
        <v>74</v>
      </c>
      <c r="B4" s="20">
        <v>98880</v>
      </c>
      <c r="C4" s="21">
        <v>3.125</v>
      </c>
      <c r="D4" s="21">
        <v>0.004025</v>
      </c>
      <c r="E4" s="22">
        <f>D4*C4</f>
        <v>0.012578125</v>
      </c>
      <c r="F4" s="23"/>
      <c r="G4" s="24">
        <f>B4*E4+F4</f>
        <v>1243.725</v>
      </c>
      <c r="H4" s="25">
        <f>G4/C4</f>
        <v>397.992</v>
      </c>
      <c r="I4" s="26">
        <v>106000</v>
      </c>
      <c r="J4" s="2"/>
      <c r="K4" s="27">
        <v>107800</v>
      </c>
      <c r="L4" s="28"/>
      <c r="M4" s="29"/>
      <c r="N4" s="29"/>
      <c r="O4" s="29">
        <v>96000</v>
      </c>
      <c r="P4" s="29">
        <f>O4*1.03</f>
        <v>98880</v>
      </c>
      <c r="Q4" s="29"/>
      <c r="R4" s="29"/>
    </row>
    <row r="5" spans="1:30">
      <c r="A5" s="19" t="s">
        <v>75</v>
      </c>
      <c r="B5" s="30">
        <v>97000</v>
      </c>
      <c r="C5" s="21">
        <v>3.125</v>
      </c>
      <c r="D5" s="21">
        <f>E5/C5</f>
        <v>0.00784</v>
      </c>
      <c r="E5" s="22">
        <v>0.0245</v>
      </c>
      <c r="F5" s="23"/>
      <c r="G5" s="24">
        <f t="shared" ref="G5:G26" si="0">B5*E5+F5</f>
        <v>2376.5</v>
      </c>
      <c r="H5" s="25">
        <f t="shared" ref="H5:H29" si="1">G5/C5</f>
        <v>760.48</v>
      </c>
      <c r="I5" s="26">
        <v>96000</v>
      </c>
      <c r="J5" s="2"/>
      <c r="K5" s="27"/>
      <c r="L5" s="29">
        <v>94900</v>
      </c>
      <c r="M5" s="29"/>
      <c r="N5" s="29"/>
      <c r="O5" s="29">
        <v>92500</v>
      </c>
      <c r="P5" s="29">
        <f t="shared" ref="P5:P30" si="2">O5*1.03</f>
        <v>95275</v>
      </c>
      <c r="Q5" s="29"/>
      <c r="R5" s="29"/>
      <c r="S5" s="31">
        <v>46092</v>
      </c>
      <c r="AA5">
        <v>102000</v>
      </c>
      <c r="AB5">
        <v>96840</v>
      </c>
      <c r="AC5">
        <f>AB5*1.03</f>
        <v>99745.2</v>
      </c>
      <c r="AD5">
        <f>AB5*1.05</f>
        <v>101682</v>
      </c>
    </row>
    <row r="6" spans="1:30">
      <c r="A6" s="19" t="s">
        <v>76</v>
      </c>
      <c r="B6" s="30">
        <v>97000</v>
      </c>
      <c r="C6" s="21">
        <v>3.125</v>
      </c>
      <c r="D6" s="21">
        <f>E6/C6</f>
        <v>0.0096</v>
      </c>
      <c r="E6" s="22">
        <v>0.03</v>
      </c>
      <c r="F6" s="23"/>
      <c r="G6" s="24">
        <f t="shared" si="0"/>
        <v>2910</v>
      </c>
      <c r="H6" s="25">
        <f t="shared" si="1"/>
        <v>931.2</v>
      </c>
      <c r="I6" s="26">
        <v>96000</v>
      </c>
      <c r="J6" s="2"/>
      <c r="K6" s="27"/>
      <c r="L6" s="27"/>
      <c r="M6" s="27"/>
      <c r="N6" s="27"/>
      <c r="O6" s="27">
        <v>90500</v>
      </c>
      <c r="P6" s="29">
        <f t="shared" si="2"/>
        <v>93215</v>
      </c>
      <c r="Q6" s="29"/>
      <c r="R6" s="27"/>
      <c r="S6" s="2" t="s">
        <v>77</v>
      </c>
      <c r="T6" s="1" t="s">
        <v>78</v>
      </c>
      <c r="U6" s="1"/>
      <c r="V6" s="1"/>
      <c r="W6" s="1"/>
      <c r="AB6">
        <v>96500</v>
      </c>
      <c r="AC6">
        <f t="shared" ref="AC6:AC27" si="3">AB6*1.03</f>
        <v>99395</v>
      </c>
      <c r="AD6">
        <f t="shared" ref="AD6:AD27" si="4">AB6*1.05</f>
        <v>101325</v>
      </c>
    </row>
    <row r="7" spans="1:30">
      <c r="A7" s="19" t="s">
        <v>79</v>
      </c>
      <c r="B7" s="30">
        <v>97000</v>
      </c>
      <c r="C7" s="21">
        <v>3.125</v>
      </c>
      <c r="D7" s="21">
        <f t="shared" ref="D7:D26" si="5">E7/C7</f>
        <v>0.011776</v>
      </c>
      <c r="E7" s="22">
        <v>0.0368</v>
      </c>
      <c r="F7" s="23"/>
      <c r="G7" s="24">
        <f t="shared" si="0"/>
        <v>3569.6</v>
      </c>
      <c r="H7" s="25">
        <f t="shared" si="1"/>
        <v>1142.272</v>
      </c>
      <c r="I7" s="26">
        <v>96000</v>
      </c>
      <c r="J7" s="2"/>
      <c r="K7" s="27"/>
      <c r="L7" s="27"/>
      <c r="M7" s="27"/>
      <c r="N7" s="27"/>
      <c r="O7" s="27">
        <v>90500</v>
      </c>
      <c r="P7" s="29">
        <f t="shared" si="2"/>
        <v>93215</v>
      </c>
      <c r="Q7" s="29"/>
      <c r="R7" s="27"/>
      <c r="S7" s="2" t="s">
        <v>80</v>
      </c>
      <c r="T7" s="2" t="s">
        <v>81</v>
      </c>
      <c r="U7" s="2" t="s">
        <v>82</v>
      </c>
      <c r="V7" s="2" t="s">
        <v>81</v>
      </c>
      <c r="W7" s="2" t="s">
        <v>81</v>
      </c>
      <c r="X7" s="2" t="s">
        <v>83</v>
      </c>
      <c r="Y7" s="2"/>
      <c r="Z7" s="2"/>
      <c r="AB7">
        <v>96500</v>
      </c>
      <c r="AC7">
        <f t="shared" si="3"/>
        <v>99395</v>
      </c>
      <c r="AD7">
        <f t="shared" si="4"/>
        <v>101325</v>
      </c>
    </row>
    <row r="8" spans="1:30">
      <c r="A8" s="19" t="s">
        <v>84</v>
      </c>
      <c r="B8" s="30">
        <v>97000</v>
      </c>
      <c r="C8" s="21">
        <v>3.125</v>
      </c>
      <c r="D8" s="21">
        <f t="shared" si="5"/>
        <v>0.015712</v>
      </c>
      <c r="E8" s="22">
        <v>0.0491</v>
      </c>
      <c r="F8" s="23"/>
      <c r="G8" s="24">
        <f t="shared" si="0"/>
        <v>4762.7</v>
      </c>
      <c r="H8" s="25">
        <f t="shared" si="1"/>
        <v>1524.064</v>
      </c>
      <c r="I8" s="26">
        <v>96000</v>
      </c>
      <c r="J8" s="2"/>
      <c r="K8" s="27">
        <v>97300</v>
      </c>
      <c r="L8" s="27">
        <v>92500</v>
      </c>
      <c r="M8" s="27"/>
      <c r="N8" s="27">
        <v>89000</v>
      </c>
      <c r="O8" s="27">
        <v>89000</v>
      </c>
      <c r="P8" s="29">
        <f t="shared" si="2"/>
        <v>91670</v>
      </c>
      <c r="Q8" s="29">
        <f>L8*1.03</f>
        <v>95275</v>
      </c>
      <c r="R8" s="27"/>
      <c r="S8" s="2">
        <v>91600</v>
      </c>
      <c r="T8" s="2">
        <v>98712.64</v>
      </c>
      <c r="U8" s="2">
        <v>97900</v>
      </c>
      <c r="V8" s="2"/>
      <c r="W8" s="2">
        <f>79210*1.22</f>
        <v>96636.2</v>
      </c>
      <c r="X8" s="2">
        <f>AVERAGE(T8:W8)</f>
        <v>97749.6133333333</v>
      </c>
      <c r="Y8" s="32">
        <f>X8/B8-1</f>
        <v>0.00772797250859125</v>
      </c>
      <c r="Z8" s="32">
        <f>S8/T8-1</f>
        <v>-0.0720539943010338</v>
      </c>
      <c r="AB8">
        <v>95500</v>
      </c>
      <c r="AC8">
        <f t="shared" si="3"/>
        <v>98365</v>
      </c>
      <c r="AD8">
        <f t="shared" si="4"/>
        <v>100275</v>
      </c>
    </row>
    <row r="9" spans="1:30">
      <c r="A9" s="19" t="s">
        <v>85</v>
      </c>
      <c r="B9" s="30">
        <v>97000</v>
      </c>
      <c r="C9" s="21">
        <v>3.125</v>
      </c>
      <c r="D9" s="21">
        <f t="shared" si="5"/>
        <v>0.023552</v>
      </c>
      <c r="E9" s="22">
        <v>0.0736</v>
      </c>
      <c r="F9" s="23"/>
      <c r="G9" s="24">
        <f t="shared" si="0"/>
        <v>7139.2</v>
      </c>
      <c r="H9" s="25">
        <f t="shared" si="1"/>
        <v>2284.544</v>
      </c>
      <c r="I9" s="26">
        <v>96000</v>
      </c>
      <c r="J9" s="2"/>
      <c r="K9" s="27"/>
      <c r="L9" s="27"/>
      <c r="M9" s="27"/>
      <c r="N9" s="27">
        <v>88000</v>
      </c>
      <c r="O9" s="27">
        <v>88000</v>
      </c>
      <c r="P9" s="29">
        <f t="shared" si="2"/>
        <v>90640</v>
      </c>
      <c r="Q9" s="29"/>
      <c r="R9" s="27"/>
      <c r="S9" s="2"/>
      <c r="T9" s="2"/>
      <c r="U9" s="2"/>
      <c r="V9" s="2"/>
      <c r="W9" s="2"/>
      <c r="X9" s="2"/>
      <c r="Y9" s="32"/>
      <c r="Z9" s="32"/>
      <c r="AB9">
        <v>95500</v>
      </c>
      <c r="AC9">
        <f t="shared" si="3"/>
        <v>98365</v>
      </c>
      <c r="AD9">
        <f t="shared" si="4"/>
        <v>100275</v>
      </c>
    </row>
    <row r="10" spans="1:30">
      <c r="A10" s="19" t="s">
        <v>86</v>
      </c>
      <c r="B10" s="30">
        <v>80000</v>
      </c>
      <c r="C10" s="21">
        <v>3.125</v>
      </c>
      <c r="D10" s="21">
        <f t="shared" si="5"/>
        <v>0.0056</v>
      </c>
      <c r="E10" s="22">
        <v>0.0175</v>
      </c>
      <c r="F10" s="23"/>
      <c r="G10" s="24">
        <f t="shared" si="0"/>
        <v>1400</v>
      </c>
      <c r="H10" s="25">
        <f t="shared" si="1"/>
        <v>448</v>
      </c>
      <c r="I10" s="26">
        <v>81996</v>
      </c>
      <c r="J10" s="2"/>
      <c r="K10" s="27"/>
      <c r="L10" s="27"/>
      <c r="M10" s="27"/>
      <c r="N10" s="27"/>
      <c r="O10" s="27">
        <v>69700</v>
      </c>
      <c r="P10" s="29">
        <f t="shared" si="2"/>
        <v>71791</v>
      </c>
      <c r="Q10" s="29"/>
      <c r="R10" s="27"/>
      <c r="S10" s="2"/>
      <c r="T10" s="2"/>
      <c r="U10" s="2"/>
      <c r="V10" s="2"/>
      <c r="W10" s="2"/>
      <c r="X10" s="2"/>
      <c r="Y10" s="32"/>
      <c r="Z10" s="32"/>
      <c r="AB10">
        <v>77500</v>
      </c>
      <c r="AC10">
        <f t="shared" si="3"/>
        <v>79825</v>
      </c>
      <c r="AD10">
        <f t="shared" si="4"/>
        <v>81375</v>
      </c>
    </row>
    <row r="11" spans="1:30">
      <c r="A11" s="19" t="s">
        <v>87</v>
      </c>
      <c r="B11" s="30">
        <v>80000</v>
      </c>
      <c r="C11" s="21">
        <v>3.125</v>
      </c>
      <c r="D11" s="21">
        <f t="shared" si="5"/>
        <v>0.00784</v>
      </c>
      <c r="E11" s="22">
        <v>0.0245</v>
      </c>
      <c r="F11" s="23"/>
      <c r="G11" s="24">
        <f t="shared" si="0"/>
        <v>1960</v>
      </c>
      <c r="H11" s="25">
        <f t="shared" si="1"/>
        <v>627.2</v>
      </c>
      <c r="I11" s="26">
        <v>81996</v>
      </c>
      <c r="J11" s="2"/>
      <c r="K11" s="27"/>
      <c r="L11" s="27"/>
      <c r="M11" s="27">
        <v>70500</v>
      </c>
      <c r="N11" s="27"/>
      <c r="O11" s="27">
        <v>69700</v>
      </c>
      <c r="P11" s="29">
        <f t="shared" si="2"/>
        <v>71791</v>
      </c>
      <c r="Q11" s="29"/>
      <c r="R11" s="27"/>
      <c r="S11" s="2">
        <v>74000</v>
      </c>
      <c r="T11" s="2">
        <v>83712.74</v>
      </c>
      <c r="U11" s="2">
        <v>78898</v>
      </c>
      <c r="V11" s="2">
        <f t="shared" ref="V11:V14" si="6">68396*1.22</f>
        <v>83443.12</v>
      </c>
      <c r="W11" s="2">
        <f t="shared" ref="W11:W14" si="7">67735*1.22</f>
        <v>82636.7</v>
      </c>
      <c r="X11" s="2">
        <f t="shared" ref="X11:X27" si="8">AVERAGE(T11:W11)</f>
        <v>82172.64</v>
      </c>
      <c r="Y11" s="32">
        <f>X11/B11-1</f>
        <v>0.027158</v>
      </c>
      <c r="Z11" s="32">
        <f t="shared" ref="Z11:Z27" si="9">S11/T11-1</f>
        <v>-0.116024633765422</v>
      </c>
      <c r="AB11">
        <v>77500</v>
      </c>
      <c r="AC11">
        <f t="shared" si="3"/>
        <v>79825</v>
      </c>
      <c r="AD11">
        <f t="shared" si="4"/>
        <v>81375</v>
      </c>
    </row>
    <row r="12" spans="1:30">
      <c r="A12" s="19" t="s">
        <v>88</v>
      </c>
      <c r="B12" s="30">
        <v>80000</v>
      </c>
      <c r="C12" s="21">
        <v>3.125</v>
      </c>
      <c r="D12" s="21">
        <f t="shared" si="5"/>
        <v>0.0096</v>
      </c>
      <c r="E12" s="22">
        <v>0.03</v>
      </c>
      <c r="F12" s="23"/>
      <c r="G12" s="24">
        <f t="shared" ref="G12" si="10">B12*E12+F12</f>
        <v>2400</v>
      </c>
      <c r="H12" s="25">
        <f t="shared" si="1"/>
        <v>768</v>
      </c>
      <c r="I12" s="26">
        <v>81996</v>
      </c>
      <c r="J12" s="2"/>
      <c r="K12" s="27"/>
      <c r="L12" s="27"/>
      <c r="M12" s="27"/>
      <c r="N12" s="27"/>
      <c r="O12" s="27">
        <v>69700</v>
      </c>
      <c r="P12" s="29">
        <f t="shared" si="2"/>
        <v>71791</v>
      </c>
      <c r="Q12" s="29"/>
      <c r="R12" s="27"/>
      <c r="S12" s="2">
        <v>74000</v>
      </c>
      <c r="T12" s="2">
        <v>83712.74</v>
      </c>
      <c r="U12" s="2">
        <v>78899</v>
      </c>
      <c r="V12" s="2">
        <f t="shared" si="6"/>
        <v>83443.12</v>
      </c>
      <c r="W12" s="2">
        <f t="shared" si="7"/>
        <v>82636.7</v>
      </c>
      <c r="X12" s="2">
        <f t="shared" si="8"/>
        <v>82172.89</v>
      </c>
      <c r="Y12" s="32">
        <f>X12/B12-1</f>
        <v>0.0271611249999999</v>
      </c>
      <c r="Z12" s="32">
        <f t="shared" si="9"/>
        <v>-0.116024633765422</v>
      </c>
      <c r="AB12">
        <v>77500</v>
      </c>
      <c r="AC12">
        <f t="shared" si="3"/>
        <v>79825</v>
      </c>
      <c r="AD12">
        <f t="shared" si="4"/>
        <v>81375</v>
      </c>
    </row>
    <row r="13" spans="1:30">
      <c r="A13" s="19" t="s">
        <v>89</v>
      </c>
      <c r="B13" s="30">
        <v>80000</v>
      </c>
      <c r="C13" s="21">
        <v>3.125</v>
      </c>
      <c r="D13" s="21">
        <f t="shared" si="5"/>
        <v>0.011776</v>
      </c>
      <c r="E13" s="22">
        <v>0.0368</v>
      </c>
      <c r="F13" s="23"/>
      <c r="G13" s="24">
        <f t="shared" si="0"/>
        <v>2944</v>
      </c>
      <c r="H13" s="25">
        <f t="shared" si="1"/>
        <v>942.08</v>
      </c>
      <c r="I13" s="26">
        <v>81996</v>
      </c>
      <c r="J13" s="2"/>
      <c r="K13" s="27">
        <v>83300</v>
      </c>
      <c r="L13" s="27">
        <v>78000</v>
      </c>
      <c r="M13" s="27"/>
      <c r="N13" s="27"/>
      <c r="O13" s="27">
        <v>69700</v>
      </c>
      <c r="P13" s="29">
        <f t="shared" si="2"/>
        <v>71791</v>
      </c>
      <c r="Q13" s="29"/>
      <c r="R13" s="27"/>
      <c r="S13" s="2">
        <v>74000</v>
      </c>
      <c r="T13" s="2">
        <v>83712.74</v>
      </c>
      <c r="U13" s="2">
        <v>78900</v>
      </c>
      <c r="V13" s="2">
        <f t="shared" si="6"/>
        <v>83443.12</v>
      </c>
      <c r="W13" s="2">
        <f t="shared" si="7"/>
        <v>82636.7</v>
      </c>
      <c r="X13" s="2">
        <f t="shared" si="8"/>
        <v>82173.14</v>
      </c>
      <c r="Y13" s="32" t="s">
        <v>90</v>
      </c>
      <c r="Z13" s="32">
        <f t="shared" si="9"/>
        <v>-0.116024633765422</v>
      </c>
      <c r="AA13">
        <v>82500</v>
      </c>
      <c r="AB13">
        <v>77500</v>
      </c>
      <c r="AC13">
        <f t="shared" si="3"/>
        <v>79825</v>
      </c>
      <c r="AD13">
        <f t="shared" si="4"/>
        <v>81375</v>
      </c>
    </row>
    <row r="14" spans="1:30">
      <c r="A14" s="19" t="s">
        <v>91</v>
      </c>
      <c r="B14" s="30">
        <v>80000</v>
      </c>
      <c r="C14" s="21">
        <v>3.125</v>
      </c>
      <c r="D14" s="21">
        <f t="shared" si="5"/>
        <v>0.015712</v>
      </c>
      <c r="E14" s="22">
        <v>0.0491</v>
      </c>
      <c r="F14" s="23"/>
      <c r="G14" s="24">
        <f t="shared" si="0"/>
        <v>3928</v>
      </c>
      <c r="H14" s="25">
        <f t="shared" si="1"/>
        <v>1256.96</v>
      </c>
      <c r="I14" s="26">
        <v>81996</v>
      </c>
      <c r="J14" s="2"/>
      <c r="K14" s="27">
        <v>82720</v>
      </c>
      <c r="L14" s="27">
        <v>78000</v>
      </c>
      <c r="M14" s="27"/>
      <c r="N14" s="27">
        <v>75180</v>
      </c>
      <c r="O14" s="27">
        <v>69700</v>
      </c>
      <c r="P14" s="29">
        <f t="shared" si="2"/>
        <v>71791</v>
      </c>
      <c r="Q14" s="29"/>
      <c r="R14" s="27"/>
      <c r="S14" s="2">
        <v>73800</v>
      </c>
      <c r="T14" s="2">
        <v>83712.74</v>
      </c>
      <c r="U14" s="2">
        <v>78900</v>
      </c>
      <c r="V14" s="2">
        <f t="shared" si="6"/>
        <v>83443.12</v>
      </c>
      <c r="W14" s="2">
        <f t="shared" si="7"/>
        <v>82636.7</v>
      </c>
      <c r="X14" s="2">
        <f t="shared" si="8"/>
        <v>82173.14</v>
      </c>
      <c r="Y14" s="32">
        <f>X14/B14-1</f>
        <v>0.02716425</v>
      </c>
      <c r="Z14" s="32">
        <f t="shared" si="9"/>
        <v>-0.118413756376867</v>
      </c>
      <c r="AA14">
        <v>82500</v>
      </c>
      <c r="AB14">
        <v>77500</v>
      </c>
      <c r="AC14">
        <f t="shared" si="3"/>
        <v>79825</v>
      </c>
      <c r="AD14">
        <f t="shared" si="4"/>
        <v>81375</v>
      </c>
    </row>
    <row r="15" spans="1:30">
      <c r="A15" s="19" t="s">
        <v>92</v>
      </c>
      <c r="B15" s="30">
        <v>80000</v>
      </c>
      <c r="C15" s="21">
        <v>3.125</v>
      </c>
      <c r="D15" s="21">
        <f t="shared" si="5"/>
        <v>0.023552</v>
      </c>
      <c r="E15" s="22">
        <v>0.0736</v>
      </c>
      <c r="F15" s="23"/>
      <c r="G15" s="24">
        <f t="shared" si="0"/>
        <v>5888</v>
      </c>
      <c r="H15" s="25">
        <f t="shared" si="1"/>
        <v>1884.16</v>
      </c>
      <c r="I15" s="26">
        <v>81996</v>
      </c>
      <c r="J15" s="2"/>
      <c r="K15" s="27"/>
      <c r="L15" s="27"/>
      <c r="M15" s="27"/>
      <c r="N15" s="27"/>
      <c r="O15" s="27">
        <v>69700</v>
      </c>
      <c r="P15" s="29">
        <f t="shared" si="2"/>
        <v>71791</v>
      </c>
      <c r="Q15" s="29"/>
      <c r="R15" s="27">
        <f t="shared" ref="R15:R19" si="11">M15*1.03</f>
        <v>0</v>
      </c>
      <c r="S15" s="2"/>
      <c r="T15" s="2"/>
      <c r="U15" s="2"/>
      <c r="V15" s="2"/>
      <c r="W15" s="2"/>
      <c r="X15" s="2"/>
      <c r="Y15" s="32"/>
      <c r="Z15" s="32"/>
      <c r="AB15">
        <v>77500</v>
      </c>
      <c r="AC15">
        <f t="shared" si="3"/>
        <v>79825</v>
      </c>
      <c r="AD15">
        <f t="shared" si="4"/>
        <v>81375</v>
      </c>
    </row>
    <row r="16" spans="1:30">
      <c r="A16" s="19" t="s">
        <v>93</v>
      </c>
      <c r="B16" s="30">
        <v>0</v>
      </c>
      <c r="C16" s="21">
        <v>3.125</v>
      </c>
      <c r="D16" s="21">
        <f t="shared" si="5"/>
        <v>0.00784</v>
      </c>
      <c r="E16" s="22">
        <v>0.0245</v>
      </c>
      <c r="F16" s="23"/>
      <c r="G16" s="24">
        <f t="shared" si="0"/>
        <v>0</v>
      </c>
      <c r="H16" s="25">
        <f t="shared" si="1"/>
        <v>0</v>
      </c>
      <c r="I16" s="26">
        <v>61000</v>
      </c>
      <c r="J16" s="2">
        <v>11</v>
      </c>
      <c r="K16" s="27"/>
      <c r="L16" s="27"/>
      <c r="M16" s="27"/>
      <c r="N16" s="27"/>
      <c r="O16" s="27"/>
      <c r="P16" s="29">
        <f t="shared" si="2"/>
        <v>0</v>
      </c>
      <c r="Q16" s="29"/>
      <c r="R16" s="27">
        <f t="shared" si="11"/>
        <v>0</v>
      </c>
      <c r="S16" s="2"/>
      <c r="T16" s="2"/>
      <c r="U16" s="2"/>
      <c r="V16" s="2"/>
      <c r="W16" s="2"/>
      <c r="X16" s="2"/>
      <c r="Y16" s="32"/>
      <c r="Z16" s="32"/>
      <c r="AB16">
        <v>61000</v>
      </c>
      <c r="AC16">
        <f t="shared" si="3"/>
        <v>62830</v>
      </c>
      <c r="AD16">
        <f t="shared" si="4"/>
        <v>64050</v>
      </c>
    </row>
    <row r="17" spans="1:30">
      <c r="A17" s="19" t="s">
        <v>94</v>
      </c>
      <c r="B17" s="30">
        <v>0</v>
      </c>
      <c r="C17" s="21">
        <v>3.125</v>
      </c>
      <c r="D17" s="21">
        <f t="shared" si="5"/>
        <v>0.011776</v>
      </c>
      <c r="E17" s="22">
        <v>0.0368</v>
      </c>
      <c r="F17" s="23"/>
      <c r="G17" s="24">
        <f t="shared" si="0"/>
        <v>0</v>
      </c>
      <c r="H17" s="25">
        <f t="shared" si="1"/>
        <v>0</v>
      </c>
      <c r="I17" s="26">
        <v>61000</v>
      </c>
      <c r="J17" s="2">
        <v>16</v>
      </c>
      <c r="K17" s="27"/>
      <c r="L17" s="27"/>
      <c r="M17" s="27"/>
      <c r="N17" s="27"/>
      <c r="O17" s="27"/>
      <c r="P17" s="29">
        <f t="shared" si="2"/>
        <v>0</v>
      </c>
      <c r="Q17" s="29"/>
      <c r="R17" s="27">
        <f t="shared" si="11"/>
        <v>0</v>
      </c>
      <c r="S17" s="2"/>
      <c r="T17" s="2"/>
      <c r="U17" s="2"/>
      <c r="V17" s="2"/>
      <c r="W17" s="2"/>
      <c r="X17" s="2"/>
      <c r="Y17" s="32"/>
      <c r="Z17" s="32"/>
      <c r="AB17">
        <v>61000</v>
      </c>
      <c r="AC17">
        <f t="shared" si="3"/>
        <v>62830</v>
      </c>
      <c r="AD17">
        <f t="shared" si="4"/>
        <v>64050</v>
      </c>
    </row>
    <row r="18" spans="1:30">
      <c r="A18" s="19" t="s">
        <v>95</v>
      </c>
      <c r="B18" s="30">
        <v>0</v>
      </c>
      <c r="C18" s="21">
        <v>3.125</v>
      </c>
      <c r="D18" s="21">
        <f t="shared" si="5"/>
        <v>0.015712</v>
      </c>
      <c r="E18" s="22">
        <v>0.0491</v>
      </c>
      <c r="F18" s="23"/>
      <c r="G18" s="24">
        <f t="shared" si="0"/>
        <v>0</v>
      </c>
      <c r="H18" s="25">
        <f t="shared" si="1"/>
        <v>0</v>
      </c>
      <c r="I18" s="26">
        <v>61000</v>
      </c>
      <c r="J18" s="2">
        <v>20.5</v>
      </c>
      <c r="K18" s="27"/>
      <c r="L18" s="27"/>
      <c r="M18" s="27"/>
      <c r="N18" s="27"/>
      <c r="O18" s="27"/>
      <c r="P18" s="29">
        <f t="shared" si="2"/>
        <v>0</v>
      </c>
      <c r="Q18" s="29"/>
      <c r="R18" s="27">
        <f t="shared" si="11"/>
        <v>0</v>
      </c>
      <c r="S18" s="2"/>
      <c r="T18" s="2"/>
      <c r="U18" s="2"/>
      <c r="V18" s="2"/>
      <c r="W18" s="2"/>
      <c r="X18" s="2"/>
      <c r="Y18" s="32"/>
      <c r="Z18" s="32"/>
      <c r="AB18">
        <v>61000</v>
      </c>
      <c r="AC18">
        <f t="shared" si="3"/>
        <v>62830</v>
      </c>
      <c r="AD18">
        <f t="shared" si="4"/>
        <v>64050</v>
      </c>
    </row>
    <row r="19" spans="1:30">
      <c r="A19" s="19" t="s">
        <v>96</v>
      </c>
      <c r="B19" s="30">
        <v>73000</v>
      </c>
      <c r="C19" s="21">
        <v>4.5</v>
      </c>
      <c r="D19" s="21">
        <f t="shared" si="5"/>
        <v>0.024</v>
      </c>
      <c r="E19" s="22">
        <v>0.108</v>
      </c>
      <c r="F19" s="23">
        <v>60</v>
      </c>
      <c r="G19" s="24">
        <f t="shared" si="0"/>
        <v>7944</v>
      </c>
      <c r="H19" s="25">
        <f t="shared" si="1"/>
        <v>1765.33333333333</v>
      </c>
      <c r="I19" s="26">
        <v>60500</v>
      </c>
      <c r="J19" s="2">
        <v>32</v>
      </c>
      <c r="K19" s="27"/>
      <c r="L19" s="27"/>
      <c r="M19" s="27">
        <v>67300</v>
      </c>
      <c r="N19" s="27"/>
      <c r="O19" s="27">
        <v>66300</v>
      </c>
      <c r="P19" s="29">
        <f t="shared" si="2"/>
        <v>68289</v>
      </c>
      <c r="Q19" s="29"/>
      <c r="R19" s="27">
        <f t="shared" si="11"/>
        <v>69319</v>
      </c>
      <c r="S19" s="2">
        <v>57200</v>
      </c>
      <c r="T19" s="2">
        <v>62212.68</v>
      </c>
      <c r="U19" s="2">
        <f>49100*1.22</f>
        <v>59902</v>
      </c>
      <c r="V19" s="2">
        <f>50773*1.22</f>
        <v>61943.06</v>
      </c>
      <c r="W19" s="2">
        <f>50112*1.22</f>
        <v>61136.64</v>
      </c>
      <c r="X19" s="2">
        <f t="shared" si="8"/>
        <v>61298.595</v>
      </c>
      <c r="Y19" s="32">
        <f>X19/B19-1</f>
        <v>-0.160293219178082</v>
      </c>
      <c r="Z19" s="32">
        <f t="shared" si="9"/>
        <v>-0.080573285060216</v>
      </c>
      <c r="AA19">
        <v>60000</v>
      </c>
      <c r="AB19">
        <v>59500</v>
      </c>
      <c r="AC19">
        <f t="shared" si="3"/>
        <v>61285</v>
      </c>
      <c r="AD19">
        <f t="shared" si="4"/>
        <v>62475</v>
      </c>
    </row>
    <row r="20" spans="1:30">
      <c r="A20" s="19" t="s">
        <v>97</v>
      </c>
      <c r="B20" s="30">
        <v>73000</v>
      </c>
      <c r="C20" s="21">
        <v>4.5</v>
      </c>
      <c r="D20" s="21">
        <f t="shared" si="5"/>
        <v>0.0314</v>
      </c>
      <c r="E20" s="22">
        <v>0.1413</v>
      </c>
      <c r="F20" s="23">
        <v>120</v>
      </c>
      <c r="G20" s="24">
        <f t="shared" si="0"/>
        <v>10434.9</v>
      </c>
      <c r="H20" s="25">
        <f t="shared" si="1"/>
        <v>2318.86666666667</v>
      </c>
      <c r="I20" s="26">
        <v>60500</v>
      </c>
      <c r="J20" s="2">
        <v>43</v>
      </c>
      <c r="K20" s="27">
        <v>61220</v>
      </c>
      <c r="L20" s="27">
        <v>83500</v>
      </c>
      <c r="M20" s="27"/>
      <c r="N20" s="27">
        <v>66900</v>
      </c>
      <c r="O20" s="27">
        <v>66300</v>
      </c>
      <c r="P20" s="29">
        <f t="shared" si="2"/>
        <v>68289</v>
      </c>
      <c r="Q20" s="29"/>
      <c r="R20" s="27">
        <f t="shared" ref="R20:R27" si="12">M20*1.03</f>
        <v>0</v>
      </c>
      <c r="S20" s="2">
        <v>55300</v>
      </c>
      <c r="T20" s="2">
        <v>62212.68</v>
      </c>
      <c r="U20" s="2">
        <f>49100*1.22</f>
        <v>59902</v>
      </c>
      <c r="V20" s="2">
        <f>50773*1.22</f>
        <v>61943.06</v>
      </c>
      <c r="W20" s="2">
        <f t="shared" ref="W20:W23" si="13">50112*1.22</f>
        <v>61136.64</v>
      </c>
      <c r="X20" s="2">
        <f t="shared" si="8"/>
        <v>61298.595</v>
      </c>
      <c r="Y20" s="32">
        <f>X20/B20-1</f>
        <v>-0.160293219178082</v>
      </c>
      <c r="Z20" s="32">
        <f t="shared" si="9"/>
        <v>-0.11111368293409</v>
      </c>
      <c r="AA20">
        <v>60000</v>
      </c>
      <c r="AB20">
        <v>58300</v>
      </c>
      <c r="AC20">
        <f t="shared" si="3"/>
        <v>60049</v>
      </c>
      <c r="AD20">
        <f t="shared" si="4"/>
        <v>61215</v>
      </c>
    </row>
    <row r="21" spans="1:30">
      <c r="A21" s="19" t="s">
        <v>98</v>
      </c>
      <c r="B21" s="30">
        <v>73000</v>
      </c>
      <c r="C21" s="21">
        <v>4.5</v>
      </c>
      <c r="D21" s="21">
        <f t="shared" si="5"/>
        <v>0.0392444444444444</v>
      </c>
      <c r="E21" s="22">
        <v>0.1766</v>
      </c>
      <c r="F21" s="23">
        <v>180</v>
      </c>
      <c r="G21" s="24">
        <f t="shared" si="0"/>
        <v>13071.8</v>
      </c>
      <c r="H21" s="25">
        <f t="shared" si="1"/>
        <v>2904.84444444444</v>
      </c>
      <c r="I21" s="26">
        <v>60500</v>
      </c>
      <c r="J21" s="2">
        <v>53.5</v>
      </c>
      <c r="K21" s="27">
        <v>61220</v>
      </c>
      <c r="L21" s="27">
        <v>72500</v>
      </c>
      <c r="M21" s="27"/>
      <c r="N21" s="27">
        <v>67970</v>
      </c>
      <c r="O21" s="27">
        <v>66300</v>
      </c>
      <c r="P21" s="29">
        <f t="shared" si="2"/>
        <v>68289</v>
      </c>
      <c r="Q21" s="29"/>
      <c r="R21" s="27">
        <f t="shared" si="12"/>
        <v>0</v>
      </c>
      <c r="S21" s="2">
        <v>55300</v>
      </c>
      <c r="T21" s="2">
        <v>62212.68</v>
      </c>
      <c r="U21" s="2">
        <f>49590*1.22</f>
        <v>60499.8</v>
      </c>
      <c r="V21" s="2">
        <f t="shared" ref="V21:V23" si="14">50773*1.22</f>
        <v>61943.06</v>
      </c>
      <c r="W21" s="2">
        <f t="shared" si="13"/>
        <v>61136.64</v>
      </c>
      <c r="X21" s="2">
        <f t="shared" si="8"/>
        <v>61448.045</v>
      </c>
      <c r="Y21" s="32">
        <f>X21/B21-1</f>
        <v>-0.15824595890411</v>
      </c>
      <c r="Z21" s="32">
        <f t="shared" si="9"/>
        <v>-0.11111368293409</v>
      </c>
      <c r="AA21">
        <v>60000</v>
      </c>
      <c r="AB21">
        <v>58300</v>
      </c>
      <c r="AC21">
        <f t="shared" si="3"/>
        <v>60049</v>
      </c>
      <c r="AD21">
        <f t="shared" si="4"/>
        <v>61215</v>
      </c>
    </row>
    <row r="22" spans="1:30">
      <c r="A22" s="19" t="s">
        <v>99</v>
      </c>
      <c r="B22" s="30">
        <v>73000</v>
      </c>
      <c r="C22" s="21">
        <v>4.5</v>
      </c>
      <c r="D22" s="21">
        <f t="shared" si="5"/>
        <v>0.0471111111111111</v>
      </c>
      <c r="E22" s="22">
        <v>0.212</v>
      </c>
      <c r="F22" s="23">
        <v>180</v>
      </c>
      <c r="G22" s="24">
        <f t="shared" si="0"/>
        <v>15656</v>
      </c>
      <c r="H22" s="25">
        <f t="shared" si="1"/>
        <v>3479.11111111111</v>
      </c>
      <c r="I22" s="26">
        <v>60500</v>
      </c>
      <c r="J22" s="2">
        <v>64</v>
      </c>
      <c r="K22" s="27">
        <v>61220</v>
      </c>
      <c r="L22" s="27">
        <v>72500</v>
      </c>
      <c r="M22" s="27"/>
      <c r="N22" s="27"/>
      <c r="O22" s="27">
        <v>66300</v>
      </c>
      <c r="P22" s="29">
        <f t="shared" si="2"/>
        <v>68289</v>
      </c>
      <c r="Q22" s="29"/>
      <c r="R22" s="27">
        <f t="shared" si="12"/>
        <v>0</v>
      </c>
      <c r="S22" s="2">
        <v>55300</v>
      </c>
      <c r="T22" s="2">
        <v>62212.68</v>
      </c>
      <c r="U22" s="2">
        <f t="shared" ref="U22:U23" si="15">49590*1.22</f>
        <v>60499.8</v>
      </c>
      <c r="V22" s="2">
        <f t="shared" si="14"/>
        <v>61943.06</v>
      </c>
      <c r="W22" s="2">
        <f t="shared" si="13"/>
        <v>61136.64</v>
      </c>
      <c r="X22" s="2">
        <f t="shared" si="8"/>
        <v>61448.045</v>
      </c>
      <c r="Y22" s="32">
        <f>X22/B22-1</f>
        <v>-0.15824595890411</v>
      </c>
      <c r="Z22" s="32">
        <f t="shared" si="9"/>
        <v>-0.11111368293409</v>
      </c>
      <c r="AA22">
        <v>60000</v>
      </c>
      <c r="AB22">
        <v>58300</v>
      </c>
      <c r="AC22">
        <f t="shared" si="3"/>
        <v>60049</v>
      </c>
      <c r="AD22">
        <f t="shared" si="4"/>
        <v>61215</v>
      </c>
    </row>
    <row r="23" spans="1:30">
      <c r="A23" s="19" t="s">
        <v>100</v>
      </c>
      <c r="B23" s="30">
        <v>73000</v>
      </c>
      <c r="C23" s="21">
        <v>4.5</v>
      </c>
      <c r="D23" s="21">
        <f t="shared" si="5"/>
        <v>0.0628</v>
      </c>
      <c r="E23" s="22">
        <v>0.2826</v>
      </c>
      <c r="F23" s="23">
        <v>240</v>
      </c>
      <c r="G23" s="24">
        <f t="shared" si="0"/>
        <v>20869.8</v>
      </c>
      <c r="H23" s="25">
        <f t="shared" si="1"/>
        <v>4637.73333333333</v>
      </c>
      <c r="I23" s="26">
        <v>60500</v>
      </c>
      <c r="J23" s="2">
        <v>85</v>
      </c>
      <c r="K23" s="27">
        <v>61220</v>
      </c>
      <c r="L23" s="27">
        <v>78500</v>
      </c>
      <c r="M23" s="27">
        <v>65300</v>
      </c>
      <c r="N23" s="27"/>
      <c r="O23" s="27">
        <v>66300</v>
      </c>
      <c r="P23" s="29">
        <f t="shared" si="2"/>
        <v>68289</v>
      </c>
      <c r="Q23" s="29"/>
      <c r="R23" s="27">
        <f t="shared" si="12"/>
        <v>67259</v>
      </c>
      <c r="S23" s="2">
        <v>55300</v>
      </c>
      <c r="T23" s="2">
        <v>62212.68</v>
      </c>
      <c r="U23" s="2">
        <f t="shared" si="15"/>
        <v>60499.8</v>
      </c>
      <c r="V23" s="2">
        <f t="shared" si="14"/>
        <v>61943.06</v>
      </c>
      <c r="W23" s="2">
        <f t="shared" si="13"/>
        <v>61136.64</v>
      </c>
      <c r="X23" s="2">
        <f t="shared" si="8"/>
        <v>61448.045</v>
      </c>
      <c r="Y23" s="32">
        <f>X23/B23-1</f>
        <v>-0.15824595890411</v>
      </c>
      <c r="Z23" s="32">
        <f t="shared" si="9"/>
        <v>-0.11111368293409</v>
      </c>
      <c r="AA23">
        <v>60000</v>
      </c>
      <c r="AB23">
        <v>57800</v>
      </c>
      <c r="AC23">
        <f t="shared" si="3"/>
        <v>59534</v>
      </c>
      <c r="AD23">
        <f t="shared" si="4"/>
        <v>60690</v>
      </c>
    </row>
    <row r="24" spans="1:30">
      <c r="A24" s="19" t="s">
        <v>101</v>
      </c>
      <c r="B24" s="30">
        <v>73000</v>
      </c>
      <c r="C24" s="21">
        <v>4.5</v>
      </c>
      <c r="D24" s="21">
        <f t="shared" si="5"/>
        <v>0.0804444444444444</v>
      </c>
      <c r="E24" s="22">
        <v>0.362</v>
      </c>
      <c r="F24" s="23">
        <v>300</v>
      </c>
      <c r="G24" s="24">
        <f t="shared" si="0"/>
        <v>26726</v>
      </c>
      <c r="H24" s="25">
        <f t="shared" si="1"/>
        <v>5939.11111111111</v>
      </c>
      <c r="I24" s="26">
        <v>60500</v>
      </c>
      <c r="J24" s="2">
        <v>107</v>
      </c>
      <c r="K24" s="27">
        <v>61220</v>
      </c>
      <c r="L24" s="27"/>
      <c r="M24" s="27"/>
      <c r="N24" s="27">
        <v>67970</v>
      </c>
      <c r="O24" s="27">
        <v>66300</v>
      </c>
      <c r="P24" s="29">
        <f t="shared" si="2"/>
        <v>68289</v>
      </c>
      <c r="Q24" s="29"/>
      <c r="R24" s="27">
        <f t="shared" si="12"/>
        <v>0</v>
      </c>
      <c r="S24" s="2"/>
      <c r="T24" s="2"/>
      <c r="U24" s="2"/>
      <c r="V24" s="2"/>
      <c r="W24" s="2"/>
      <c r="X24" s="2"/>
      <c r="Y24" s="32"/>
      <c r="Z24" s="32"/>
      <c r="AB24">
        <v>57800</v>
      </c>
      <c r="AC24">
        <f t="shared" si="3"/>
        <v>59534</v>
      </c>
      <c r="AD24">
        <f t="shared" si="4"/>
        <v>60690</v>
      </c>
    </row>
    <row r="25" spans="1:30">
      <c r="A25" s="19" t="s">
        <v>102</v>
      </c>
      <c r="B25" s="30">
        <v>73000</v>
      </c>
      <c r="C25" s="21">
        <v>4.5</v>
      </c>
      <c r="D25" s="21">
        <f t="shared" si="5"/>
        <v>0.0942222222222222</v>
      </c>
      <c r="E25" s="22">
        <v>0.424</v>
      </c>
      <c r="F25" s="23">
        <v>420</v>
      </c>
      <c r="G25" s="24">
        <f t="shared" si="0"/>
        <v>31372</v>
      </c>
      <c r="H25" s="25">
        <f t="shared" si="1"/>
        <v>6971.55555555556</v>
      </c>
      <c r="I25" s="26">
        <v>60500</v>
      </c>
      <c r="J25" s="2">
        <v>128.5</v>
      </c>
      <c r="K25" s="27">
        <v>61220</v>
      </c>
      <c r="L25" s="27"/>
      <c r="M25" s="27">
        <v>73000</v>
      </c>
      <c r="N25" s="27"/>
      <c r="O25" s="27">
        <v>66300</v>
      </c>
      <c r="P25" s="29">
        <f t="shared" si="2"/>
        <v>68289</v>
      </c>
      <c r="Q25" s="29"/>
      <c r="R25" s="27">
        <f t="shared" si="12"/>
        <v>75190</v>
      </c>
      <c r="S25" s="2"/>
      <c r="T25" s="2"/>
      <c r="U25" s="2"/>
      <c r="V25" s="2"/>
      <c r="W25" s="2"/>
      <c r="X25" s="2"/>
      <c r="Y25" s="32"/>
      <c r="Z25" s="32"/>
      <c r="AB25">
        <v>57800</v>
      </c>
      <c r="AC25">
        <f t="shared" si="3"/>
        <v>59534</v>
      </c>
      <c r="AD25">
        <f t="shared" si="4"/>
        <v>60690</v>
      </c>
    </row>
    <row r="26" spans="1:30">
      <c r="A26" s="19" t="s">
        <v>103</v>
      </c>
      <c r="B26" s="30">
        <v>73000</v>
      </c>
      <c r="C26" s="21">
        <v>4.5</v>
      </c>
      <c r="D26" s="21">
        <f t="shared" si="5"/>
        <v>0.125555555555556</v>
      </c>
      <c r="E26" s="22">
        <v>0.565</v>
      </c>
      <c r="F26" s="23">
        <v>710</v>
      </c>
      <c r="G26" s="23">
        <f t="shared" si="0"/>
        <v>41955</v>
      </c>
      <c r="H26" s="25">
        <f t="shared" si="1"/>
        <v>9323.33333333333</v>
      </c>
      <c r="I26" s="26">
        <v>60500</v>
      </c>
      <c r="J26" s="2">
        <v>171.5</v>
      </c>
      <c r="K26" s="27">
        <v>61220</v>
      </c>
      <c r="L26" s="27"/>
      <c r="M26" s="27">
        <v>70500</v>
      </c>
      <c r="N26" s="27"/>
      <c r="O26" s="27">
        <v>66300</v>
      </c>
      <c r="P26" s="29">
        <f t="shared" si="2"/>
        <v>68289</v>
      </c>
      <c r="Q26" s="29"/>
      <c r="R26" s="27">
        <f t="shared" si="12"/>
        <v>72615</v>
      </c>
      <c r="S26" s="2"/>
      <c r="T26" s="2"/>
      <c r="U26" s="2"/>
      <c r="V26" s="2"/>
      <c r="W26" s="2"/>
      <c r="X26" s="2"/>
      <c r="Y26" s="32"/>
      <c r="Z26" s="32"/>
      <c r="AB26">
        <v>57800</v>
      </c>
      <c r="AC26">
        <f t="shared" si="3"/>
        <v>59534</v>
      </c>
      <c r="AD26">
        <f t="shared" si="4"/>
        <v>60690</v>
      </c>
    </row>
    <row r="27" spans="1:30">
      <c r="A27" s="19" t="s">
        <v>104</v>
      </c>
      <c r="B27" s="30">
        <v>73000</v>
      </c>
      <c r="C27" s="21">
        <v>3.125</v>
      </c>
      <c r="D27" s="21"/>
      <c r="E27" s="22">
        <v>0.0756</v>
      </c>
      <c r="F27" s="23"/>
      <c r="G27" s="23">
        <f t="shared" ref="G27" si="16">B27*E27+F27</f>
        <v>5518.8</v>
      </c>
      <c r="H27" s="25">
        <f t="shared" si="1"/>
        <v>1766.016</v>
      </c>
      <c r="I27" s="26">
        <v>67400</v>
      </c>
      <c r="J27" s="2"/>
      <c r="K27" s="27"/>
      <c r="L27" s="27"/>
      <c r="M27" s="27"/>
      <c r="N27" s="27"/>
      <c r="O27" s="27">
        <v>72200</v>
      </c>
      <c r="P27" s="29">
        <f t="shared" si="2"/>
        <v>74366</v>
      </c>
      <c r="Q27" s="29"/>
      <c r="R27" s="27">
        <f t="shared" si="12"/>
        <v>0</v>
      </c>
      <c r="S27" s="2"/>
      <c r="T27" s="2">
        <v>72213.02</v>
      </c>
      <c r="U27" s="2"/>
      <c r="V27" s="2"/>
      <c r="W27" s="2">
        <f>58309*1.22</f>
        <v>71136.98</v>
      </c>
      <c r="X27" s="2">
        <f t="shared" si="8"/>
        <v>71675</v>
      </c>
      <c r="Y27" s="32">
        <f>X27/B27-1</f>
        <v>-0.0181506849315068</v>
      </c>
      <c r="Z27" s="32">
        <f t="shared" si="9"/>
        <v>-1</v>
      </c>
      <c r="AB27">
        <v>72213</v>
      </c>
      <c r="AC27">
        <f t="shared" si="3"/>
        <v>74379.39</v>
      </c>
      <c r="AD27">
        <f t="shared" si="4"/>
        <v>75823.65</v>
      </c>
    </row>
    <row r="28" spans="1:30">
      <c r="A28" s="19" t="s">
        <v>105</v>
      </c>
      <c r="B28" s="20">
        <v>320000</v>
      </c>
      <c r="C28" s="21">
        <v>3.125</v>
      </c>
      <c r="D28" s="21">
        <v>0.008</v>
      </c>
      <c r="E28" s="22">
        <f>D28*C28</f>
        <v>0.025</v>
      </c>
      <c r="F28" s="23"/>
      <c r="G28" s="23">
        <f t="shared" ref="G28:G29" si="17">B28*E28+F28</f>
        <v>8000</v>
      </c>
      <c r="H28" s="25">
        <f t="shared" si="1"/>
        <v>2560</v>
      </c>
      <c r="I28" s="26"/>
      <c r="J28" s="2"/>
      <c r="K28" s="27"/>
      <c r="L28" s="27"/>
      <c r="M28" s="27"/>
      <c r="N28" s="27"/>
      <c r="O28" s="27"/>
      <c r="P28" s="29">
        <v>320000</v>
      </c>
      <c r="Q28" s="29"/>
      <c r="R28" s="27"/>
      <c r="S28" s="2"/>
      <c r="T28" s="2"/>
      <c r="U28" s="2"/>
      <c r="V28" s="2"/>
      <c r="W28" s="2"/>
      <c r="X28" s="2"/>
      <c r="Y28" s="32"/>
      <c r="Z28" s="2"/>
    </row>
    <row r="29" spans="1:30">
      <c r="A29" s="19" t="s">
        <v>106</v>
      </c>
      <c r="B29" s="20">
        <v>320000</v>
      </c>
      <c r="C29" s="21">
        <v>4.5</v>
      </c>
      <c r="D29" s="21">
        <v>0.008</v>
      </c>
      <c r="E29" s="22">
        <f>D29*C29</f>
        <v>0.036</v>
      </c>
      <c r="F29" s="23"/>
      <c r="G29" s="23">
        <f t="shared" si="17"/>
        <v>11520</v>
      </c>
      <c r="H29" s="25">
        <f t="shared" si="1"/>
        <v>2560</v>
      </c>
      <c r="I29" s="26"/>
      <c r="J29" s="2"/>
      <c r="K29" s="27"/>
      <c r="L29" s="27"/>
      <c r="M29" s="27"/>
      <c r="N29" s="27"/>
      <c r="O29" s="27"/>
      <c r="P29" s="29">
        <v>320000</v>
      </c>
      <c r="Q29" s="29"/>
      <c r="R29" s="27"/>
      <c r="S29" s="2"/>
      <c r="T29" s="2"/>
      <c r="U29" s="2"/>
      <c r="V29" s="2"/>
      <c r="W29" s="2"/>
      <c r="X29" s="2"/>
      <c r="Y29" s="32"/>
      <c r="Z29" s="2"/>
    </row>
    <row r="30" spans="1:30">
      <c r="A30" s="19" t="s">
        <v>107</v>
      </c>
      <c r="B30" s="23"/>
      <c r="C30" s="21"/>
      <c r="D30" s="21"/>
      <c r="E30" s="22"/>
      <c r="F30" s="23"/>
      <c r="G30" s="23"/>
      <c r="H30" s="25"/>
      <c r="I30" s="26"/>
      <c r="J30" s="2"/>
      <c r="K30" s="2"/>
      <c r="L30" s="2"/>
      <c r="M30" s="2"/>
      <c r="N30" s="2"/>
      <c r="O30" s="2"/>
      <c r="P30" s="29">
        <v>320000</v>
      </c>
      <c r="Q30" s="29"/>
      <c r="R30" s="2"/>
      <c r="S30" s="2"/>
      <c r="T30" s="2"/>
      <c r="U30" s="2"/>
      <c r="V30" s="2"/>
      <c r="W30" s="2"/>
      <c r="X30" s="2"/>
      <c r="Y30" s="32">
        <f>AVERAGE(Y8:Y23)</f>
        <v>-0.0784569963955447</v>
      </c>
      <c r="Z30" s="32">
        <f>AVERAGE(Z8:Z23)</f>
        <v>-0.106356966877074</v>
      </c>
    </row>
    <row r="31" spans="1:30">
      <c r="A31" s="19" t="s">
        <v>108</v>
      </c>
      <c r="B31" s="23">
        <v>320000</v>
      </c>
      <c r="C31" s="21">
        <v>3.125</v>
      </c>
      <c r="D31" s="21"/>
      <c r="E31" s="22">
        <v>0.075</v>
      </c>
      <c r="F31" s="23"/>
      <c r="G31" s="23">
        <f t="shared" ref="G31" si="18">B31*E31+F31</f>
        <v>24000</v>
      </c>
      <c r="H31" s="25">
        <f t="shared" ref="H31" si="19">G31/C31</f>
        <v>7680</v>
      </c>
      <c r="I31" s="2"/>
      <c r="J31" s="2"/>
      <c r="K31" s="2"/>
      <c r="L31" s="18"/>
      <c r="M31" s="18"/>
      <c r="N31" s="18"/>
      <c r="O31" s="18"/>
      <c r="P31" s="29">
        <v>320000</v>
      </c>
      <c r="Q31" s="18"/>
      <c r="R31" s="18"/>
    </row>
    <row r="32" spans="1:30">
      <c r="A32" s="19" t="s">
        <v>109</v>
      </c>
      <c r="B32" s="23">
        <v>320000</v>
      </c>
      <c r="C32" s="33"/>
      <c r="D32" s="33"/>
      <c r="P32" s="29">
        <v>320000</v>
      </c>
    </row>
    <row r="33" spans="1:16">
      <c r="A33" s="19" t="s">
        <v>110</v>
      </c>
      <c r="B33" s="23">
        <v>320000</v>
      </c>
      <c r="C33" s="33"/>
      <c r="D33" s="33"/>
      <c r="P33" s="29">
        <v>320000</v>
      </c>
    </row>
    <row r="34" spans="1:16">
      <c r="A34" s="19"/>
      <c r="B34" s="23"/>
      <c r="C34" s="33"/>
      <c r="D34" s="33"/>
    </row>
    <row r="35" spans="1:16">
      <c r="A35" s="19" t="s">
        <v>111</v>
      </c>
      <c r="B35" s="23" t="s">
        <v>112</v>
      </c>
      <c r="C35" s="33"/>
      <c r="D35" s="33"/>
    </row>
    <row r="36" spans="1:16">
      <c r="A36" s="19" t="s">
        <v>46</v>
      </c>
      <c r="B36" s="23">
        <v>500</v>
      </c>
      <c r="C36" s="33"/>
      <c r="D36" s="33"/>
    </row>
    <row r="37" ht="15" customHeight="1" spans="1:16">
      <c r="A37" s="19" t="s">
        <v>113</v>
      </c>
      <c r="B37" s="23">
        <v>1350</v>
      </c>
    </row>
    <row r="38" ht="15" customHeight="1" spans="1:16">
      <c r="A38" s="19" t="s">
        <v>114</v>
      </c>
      <c r="B38" s="23">
        <v>1350</v>
      </c>
    </row>
    <row r="39" spans="1:16">
      <c r="A39" s="19" t="s">
        <v>115</v>
      </c>
      <c r="B39" s="23">
        <v>650</v>
      </c>
      <c r="C39" s="33"/>
      <c r="D39" s="33"/>
    </row>
    <row r="40" spans="1:16">
      <c r="C40" s="33"/>
      <c r="D40" s="33"/>
    </row>
    <row r="41" spans="1:16">
      <c r="C41" s="33"/>
      <c r="D41" s="33"/>
    </row>
    <row r="42" spans="1:16">
      <c r="C42" s="33"/>
      <c r="D42" s="33"/>
    </row>
    <row r="43" spans="1:16">
      <c r="C43" s="33"/>
      <c r="D43" s="33"/>
    </row>
    <row r="44" spans="1:16">
      <c r="C44" s="33"/>
      <c r="D44" s="33"/>
    </row>
    <row r="45" spans="1:16">
      <c r="C45" s="33"/>
      <c r="D45" s="33"/>
    </row>
    <row r="46" spans="1:16">
      <c r="C46" s="33"/>
      <c r="D46" s="33"/>
    </row>
    <row r="47" spans="1:16">
      <c r="C47" s="33"/>
      <c r="D47" s="33"/>
    </row>
    <row r="48" spans="1:16">
      <c r="C48" s="33"/>
      <c r="D48" s="33"/>
    </row>
    <row r="49" spans="3:4">
      <c r="C49" s="33"/>
      <c r="D49" s="33"/>
    </row>
    <row r="50" spans="3:4">
      <c r="C50" s="33"/>
      <c r="D50" s="33"/>
    </row>
    <row r="51" spans="3:4">
      <c r="C51" s="33"/>
      <c r="D51" s="33"/>
    </row>
    <row r="52" spans="3:4">
      <c r="C52" s="33"/>
      <c r="D52" s="33"/>
    </row>
    <row r="53" spans="3:4">
      <c r="C53" s="33"/>
      <c r="D53" s="33"/>
    </row>
    <row r="54" spans="3:4">
      <c r="C54" s="33"/>
      <c r="D54" s="33"/>
    </row>
    <row r="55" spans="3:4">
      <c r="C55" s="33"/>
      <c r="D55" s="33"/>
    </row>
    <row r="56" spans="3:4">
      <c r="C56" s="33"/>
      <c r="D56" s="33"/>
    </row>
    <row r="57" spans="3:4">
      <c r="C57" s="33"/>
      <c r="D57" s="33"/>
    </row>
    <row r="58" spans="3:4">
      <c r="C58" s="33"/>
      <c r="D58" s="33"/>
    </row>
    <row r="59" spans="3:4">
      <c r="C59" s="33"/>
      <c r="D59" s="33"/>
    </row>
    <row r="60" spans="3:4">
      <c r="C60" s="33"/>
      <c r="D60" s="33"/>
    </row>
    <row r="61" spans="3:4">
      <c r="C61" s="33"/>
      <c r="D61" s="33"/>
    </row>
    <row r="62" spans="3:4">
      <c r="C62" s="33"/>
      <c r="D62" s="33"/>
    </row>
    <row r="63" spans="3:4">
      <c r="C63" s="33"/>
      <c r="D63" s="33"/>
    </row>
    <row r="64" spans="3:4">
      <c r="C64" s="33"/>
      <c r="D64" s="33"/>
    </row>
    <row r="65" spans="3:4">
      <c r="C65" s="33"/>
      <c r="D65" s="33"/>
    </row>
    <row r="66" spans="3:4">
      <c r="C66" s="33"/>
      <c r="D66" s="33"/>
    </row>
    <row r="67" spans="3:4">
      <c r="C67" s="33"/>
      <c r="D67" s="33"/>
    </row>
    <row r="68" spans="3:4">
      <c r="C68" s="33"/>
      <c r="D68" s="33"/>
    </row>
    <row r="69" spans="3:4">
      <c r="C69" s="33"/>
      <c r="D69" s="33"/>
    </row>
    <row r="70" spans="3:4">
      <c r="C70" s="33"/>
      <c r="D70" s="33"/>
    </row>
    <row r="71" spans="3:4">
      <c r="C71" s="33"/>
      <c r="D71" s="33"/>
    </row>
    <row r="72" spans="3:4">
      <c r="C72" s="33"/>
      <c r="D72" s="33"/>
    </row>
    <row r="73" spans="3:4">
      <c r="C73" s="33"/>
      <c r="D73" s="33"/>
    </row>
    <row r="74" spans="3:4">
      <c r="C74" s="33"/>
      <c r="D74" s="33"/>
    </row>
    <row r="75" spans="3:4">
      <c r="C75" s="33"/>
      <c r="D75" s="33"/>
    </row>
    <row r="76" spans="3:4">
      <c r="C76" s="33"/>
      <c r="D76" s="33"/>
    </row>
    <row r="77" spans="3:4">
      <c r="C77" s="33"/>
      <c r="D77" s="33"/>
    </row>
    <row r="78" spans="3:4">
      <c r="C78" s="33"/>
      <c r="D78" s="33"/>
    </row>
    <row r="79" spans="3:4">
      <c r="C79" s="33"/>
      <c r="D79" s="33"/>
    </row>
    <row r="80" spans="3:4">
      <c r="C80" s="33"/>
      <c r="D80" s="33"/>
    </row>
    <row r="81" spans="3:4">
      <c r="C81" s="33"/>
      <c r="D81" s="33"/>
    </row>
    <row r="82" spans="3:4">
      <c r="C82" s="33"/>
      <c r="D82" s="33"/>
    </row>
    <row r="83" spans="3:4">
      <c r="C83" s="33"/>
      <c r="D83" s="33"/>
    </row>
    <row r="84" spans="3:4">
      <c r="C84" s="33"/>
      <c r="D84" s="33"/>
    </row>
    <row r="85" spans="3:4">
      <c r="C85" s="33"/>
      <c r="D85" s="33"/>
    </row>
    <row r="86" spans="3:4">
      <c r="C86" s="33"/>
      <c r="D86" s="33"/>
    </row>
    <row r="87" spans="3:4">
      <c r="C87" s="33"/>
      <c r="D87" s="33"/>
    </row>
    <row r="88" spans="3:4">
      <c r="C88" s="33"/>
      <c r="D88" s="33"/>
    </row>
    <row r="89" spans="3:4">
      <c r="C89" s="33"/>
      <c r="D89" s="33"/>
    </row>
    <row r="90" spans="3:4">
      <c r="C90" s="33"/>
      <c r="D90" s="33"/>
    </row>
    <row r="91" spans="3:4">
      <c r="C91" s="33"/>
      <c r="D91" s="33"/>
    </row>
    <row r="92" spans="3:4">
      <c r="C92" s="33"/>
      <c r="D92" s="33"/>
    </row>
    <row r="93" spans="3:4">
      <c r="C93" s="33"/>
      <c r="D93" s="33"/>
    </row>
    <row r="94" spans="3:4">
      <c r="C94" s="33"/>
      <c r="D94" s="33"/>
    </row>
    <row r="95" spans="3:4">
      <c r="C95" s="33"/>
      <c r="D95" s="33"/>
    </row>
    <row r="96" spans="3:4">
      <c r="C96" s="33"/>
      <c r="D96" s="33"/>
    </row>
    <row r="97" spans="3:4">
      <c r="C97" s="33"/>
      <c r="D97" s="33"/>
    </row>
    <row r="98" spans="3:4">
      <c r="C98" s="33"/>
      <c r="D98" s="33"/>
    </row>
    <row r="99" spans="3:4">
      <c r="C99" s="33"/>
      <c r="D99" s="33"/>
    </row>
    <row r="100" spans="3:4">
      <c r="C100" s="33"/>
      <c r="D100" s="33"/>
    </row>
    <row r="101" spans="3:4">
      <c r="C101" s="33"/>
      <c r="D101" s="33"/>
    </row>
    <row r="102" spans="3:4">
      <c r="C102" s="33"/>
      <c r="D102" s="33"/>
    </row>
    <row r="103" spans="3:4">
      <c r="C103" s="33"/>
      <c r="D103" s="33"/>
    </row>
    <row r="104" spans="3:4">
      <c r="C104" s="33"/>
      <c r="D104" s="33"/>
    </row>
    <row r="105" spans="3:4">
      <c r="C105" s="33"/>
      <c r="D105" s="33"/>
    </row>
    <row r="106" spans="3:4">
      <c r="C106" s="33"/>
      <c r="D106" s="33"/>
    </row>
    <row r="107" spans="3:4">
      <c r="C107" s="33"/>
      <c r="D107" s="33"/>
    </row>
    <row r="108" spans="3:4">
      <c r="C108" s="33"/>
      <c r="D108" s="33"/>
    </row>
    <row r="109" spans="3:4">
      <c r="C109" s="33"/>
      <c r="D109" s="33"/>
    </row>
    <row r="110" spans="3:4">
      <c r="C110" s="33"/>
      <c r="D110" s="33"/>
    </row>
    <row r="111" spans="3:4">
      <c r="C111" s="33"/>
      <c r="D111" s="33"/>
    </row>
    <row r="112" spans="3:4">
      <c r="C112" s="33"/>
      <c r="D112" s="33"/>
    </row>
    <row r="113" spans="3:4">
      <c r="C113" s="33"/>
      <c r="D113" s="33"/>
    </row>
    <row r="114" spans="3:4">
      <c r="C114" s="33"/>
      <c r="D114" s="33"/>
    </row>
    <row r="115" spans="3:4">
      <c r="C115" s="33"/>
      <c r="D115" s="33"/>
    </row>
    <row r="116" spans="3:4">
      <c r="C116" s="33"/>
      <c r="D116" s="33"/>
    </row>
    <row r="117" spans="3:4">
      <c r="C117" s="33"/>
      <c r="D117" s="33"/>
    </row>
    <row r="118" spans="3:4">
      <c r="C118" s="33"/>
      <c r="D118" s="33"/>
    </row>
    <row r="119" spans="3:4">
      <c r="C119" s="33"/>
      <c r="D119" s="33"/>
    </row>
    <row r="120" spans="3:4">
      <c r="C120" s="33"/>
      <c r="D120" s="33"/>
    </row>
    <row r="121" spans="3:4">
      <c r="C121" s="33"/>
      <c r="D121" s="33"/>
    </row>
    <row r="122" spans="3:4">
      <c r="C122" s="33"/>
      <c r="D122" s="33"/>
    </row>
    <row r="123" spans="3:4">
      <c r="C123" s="33"/>
      <c r="D123" s="33"/>
    </row>
    <row r="124" spans="3:4">
      <c r="C124" s="33"/>
      <c r="D124" s="33"/>
    </row>
    <row r="125" spans="3:4">
      <c r="C125" s="33"/>
      <c r="D125" s="33"/>
    </row>
    <row r="126" spans="3:4">
      <c r="C126" s="33"/>
      <c r="D126" s="33"/>
    </row>
    <row r="127" spans="3:4">
      <c r="C127" s="33"/>
      <c r="D127" s="33"/>
    </row>
    <row r="128" spans="3:4">
      <c r="C128" s="33"/>
      <c r="D128" s="33"/>
    </row>
    <row r="129" spans="3:4">
      <c r="C129" s="33"/>
      <c r="D129" s="33"/>
    </row>
    <row r="130" spans="3:4">
      <c r="C130" s="33"/>
      <c r="D130" s="33"/>
    </row>
    <row r="131" spans="3:4">
      <c r="C131" s="33"/>
      <c r="D131" s="33"/>
    </row>
    <row r="132" spans="3:4">
      <c r="C132" s="33"/>
      <c r="D132" s="33"/>
    </row>
    <row r="133" spans="3:4">
      <c r="C133" s="33"/>
      <c r="D133" s="33"/>
    </row>
    <row r="134" spans="3:4">
      <c r="C134" s="33"/>
      <c r="D134" s="33"/>
    </row>
    <row r="135" spans="3:4">
      <c r="C135" s="33"/>
      <c r="D135" s="33"/>
    </row>
    <row r="136" spans="3:4">
      <c r="C136" s="33"/>
      <c r="D136" s="33"/>
    </row>
    <row r="137" spans="3:4">
      <c r="C137" s="33"/>
      <c r="D137" s="33"/>
    </row>
    <row r="138" spans="3:4">
      <c r="C138" s="33"/>
      <c r="D138" s="33"/>
    </row>
    <row r="139" spans="3:4">
      <c r="C139" s="33"/>
      <c r="D139" s="33"/>
    </row>
    <row r="140" spans="3:4">
      <c r="C140" s="33"/>
      <c r="D140" s="33"/>
    </row>
    <row r="141" spans="3:4">
      <c r="C141" s="33"/>
      <c r="D141" s="33"/>
    </row>
    <row r="142" spans="3:4">
      <c r="C142" s="33"/>
      <c r="D142" s="33"/>
    </row>
    <row r="143" spans="3:4">
      <c r="C143" s="33"/>
      <c r="D143" s="33"/>
    </row>
    <row r="144" spans="3:4">
      <c r="C144" s="33"/>
      <c r="D144" s="33"/>
    </row>
    <row r="145" spans="3:4">
      <c r="C145" s="33"/>
      <c r="D145" s="33"/>
    </row>
    <row r="146" spans="3:4">
      <c r="C146" s="33"/>
      <c r="D146" s="33"/>
    </row>
    <row r="147" spans="3:4">
      <c r="C147" s="33"/>
      <c r="D147" s="33"/>
    </row>
    <row r="148" spans="3:4">
      <c r="C148" s="33"/>
      <c r="D148" s="33"/>
    </row>
    <row r="149" spans="3:4">
      <c r="C149" s="33"/>
      <c r="D149" s="33"/>
    </row>
    <row r="150" spans="3:4">
      <c r="C150" s="33"/>
      <c r="D150" s="33"/>
    </row>
    <row r="151" spans="3:4">
      <c r="C151" s="33"/>
      <c r="D151" s="33"/>
    </row>
    <row r="152" spans="3:4">
      <c r="C152" s="33"/>
      <c r="D152" s="33"/>
    </row>
    <row r="153" spans="3:4">
      <c r="C153" s="33"/>
      <c r="D153" s="33"/>
    </row>
    <row r="154" spans="3:4">
      <c r="C154" s="33"/>
      <c r="D154" s="33"/>
    </row>
    <row r="155" spans="3:4">
      <c r="C155" s="33"/>
      <c r="D155" s="33"/>
    </row>
    <row r="156" spans="3:4">
      <c r="C156" s="33"/>
      <c r="D156" s="33"/>
    </row>
    <row r="157" spans="3:4">
      <c r="C157" s="33"/>
      <c r="D157" s="33"/>
    </row>
    <row r="158" spans="3:4">
      <c r="C158" s="33"/>
      <c r="D158" s="33"/>
    </row>
    <row r="159" spans="3:4">
      <c r="C159" s="33"/>
      <c r="D159" s="33"/>
    </row>
    <row r="160" spans="3:4">
      <c r="D160" s="33"/>
    </row>
    <row r="161" spans="4:4">
      <c r="D161" s="33"/>
    </row>
    <row r="162" spans="4:4">
      <c r="D162" s="33"/>
    </row>
    <row r="163" spans="4:4">
      <c r="D163" s="33"/>
    </row>
    <row r="164" spans="4:4">
      <c r="D164" s="33"/>
    </row>
    <row r="165" spans="4:4">
      <c r="D165" s="33"/>
    </row>
    <row r="166" spans="4:4">
      <c r="D166" s="33"/>
    </row>
    <row r="167" spans="4:4">
      <c r="D167" s="33"/>
    </row>
  </sheetData>
  <mergeCells count="1">
    <mergeCell ref="T6:W6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23"/>
    </sheetView>
  </sheetViews>
  <sheetFormatPr defaultColWidth="9" defaultRowHeight="14.4" outlineLevelCol="5"/>
  <cols>
    <col min="1" max="1" width="18.3333333333333" customWidth="1"/>
    <col min="2" max="2" width="38.3333333333333" customWidth="1"/>
    <col min="3" max="3" width="23.1111111111111" customWidth="1"/>
    <col min="4" max="4" width="17.3333333333333" customWidth="1"/>
    <col min="5" max="5" width="14.1111111111111" customWidth="1"/>
    <col min="6" max="6" width="14.4444444444444" customWidth="1"/>
  </cols>
  <sheetData>
    <row r="1" spans="1:6">
      <c r="A1" s="1" t="s">
        <v>53</v>
      </c>
      <c r="B1" s="1"/>
      <c r="C1" s="1" t="s">
        <v>54</v>
      </c>
      <c r="D1" s="1"/>
      <c r="E1" s="1" t="s">
        <v>55</v>
      </c>
      <c r="F1" s="1"/>
    </row>
    <row r="2" spans="1:6">
      <c r="A2" s="2" t="s">
        <v>56</v>
      </c>
      <c r="B2" s="2" t="s">
        <v>27</v>
      </c>
      <c r="C2" s="2" t="s">
        <v>57</v>
      </c>
      <c r="D2" s="2" t="s">
        <v>58</v>
      </c>
      <c r="E2" s="2" t="s">
        <v>25</v>
      </c>
      <c r="F2" s="2" t="s">
        <v>59</v>
      </c>
    </row>
    <row r="3" spans="1:6">
      <c r="A3" s="2" t="s">
        <v>116</v>
      </c>
      <c r="B3" s="2"/>
      <c r="C3" s="2"/>
      <c r="D3" s="2"/>
      <c r="E3" s="2"/>
      <c r="F3" s="2"/>
    </row>
    <row r="4" spans="1:6">
      <c r="A4" s="2" t="s">
        <v>117</v>
      </c>
      <c r="B4" s="2"/>
      <c r="C4" s="2"/>
      <c r="D4" s="2"/>
      <c r="E4" s="2"/>
      <c r="F4" s="2"/>
    </row>
    <row r="5" spans="1:6">
      <c r="A5" s="2" t="s">
        <v>118</v>
      </c>
      <c r="B5" s="2"/>
      <c r="C5" s="2"/>
      <c r="D5" s="2"/>
      <c r="E5" s="2"/>
      <c r="F5" s="2"/>
    </row>
    <row r="6" spans="1:6">
      <c r="A6" s="2" t="s">
        <v>119</v>
      </c>
      <c r="B6" s="2"/>
      <c r="C6" s="2"/>
      <c r="D6" s="2"/>
      <c r="E6" s="2"/>
      <c r="F6" s="2"/>
    </row>
    <row r="7" spans="1:6">
      <c r="A7" s="2" t="s">
        <v>120</v>
      </c>
      <c r="B7" s="2"/>
      <c r="C7" s="2"/>
      <c r="D7" s="2"/>
      <c r="E7" s="2"/>
      <c r="F7" s="2"/>
    </row>
    <row r="8" spans="1:6">
      <c r="A8" s="2" t="s">
        <v>121</v>
      </c>
      <c r="B8" s="2"/>
      <c r="C8" s="2"/>
      <c r="D8" s="2"/>
      <c r="E8" s="2"/>
      <c r="F8" s="2"/>
    </row>
    <row r="9" spans="1:6">
      <c r="A9" s="2" t="s">
        <v>122</v>
      </c>
      <c r="B9" s="2"/>
      <c r="C9" s="2"/>
      <c r="D9" s="2"/>
      <c r="E9" s="2"/>
      <c r="F9" s="2"/>
    </row>
    <row r="10" spans="1:6">
      <c r="A10" s="2" t="s">
        <v>123</v>
      </c>
      <c r="B10" s="2"/>
      <c r="C10" s="2"/>
      <c r="D10" s="2"/>
      <c r="E10" s="2"/>
      <c r="F10" s="2"/>
    </row>
    <row r="11" spans="1:6">
      <c r="A11" s="2" t="s">
        <v>124</v>
      </c>
      <c r="B11" s="2"/>
      <c r="C11" s="2"/>
      <c r="D11" s="2"/>
      <c r="E11" s="2"/>
      <c r="F11" s="2"/>
    </row>
    <row r="12" spans="1:6">
      <c r="A12" s="2" t="s">
        <v>125</v>
      </c>
      <c r="B12" s="2"/>
      <c r="C12" s="2"/>
      <c r="D12" s="2"/>
      <c r="E12" s="2"/>
      <c r="F12" s="2"/>
    </row>
    <row r="13" spans="1:6">
      <c r="A13" s="2" t="s">
        <v>126</v>
      </c>
      <c r="B13" s="2"/>
      <c r="C13" s="2"/>
      <c r="D13" s="2"/>
      <c r="E13" s="2"/>
      <c r="F13" s="2"/>
    </row>
    <row r="14" spans="1:6">
      <c r="A14" s="2" t="s">
        <v>127</v>
      </c>
      <c r="B14" s="2"/>
      <c r="C14" s="2"/>
      <c r="D14" s="2"/>
      <c r="E14" s="2"/>
      <c r="F14" s="2"/>
    </row>
    <row r="15" spans="1:6">
      <c r="A15" s="2" t="s">
        <v>128</v>
      </c>
      <c r="B15" s="2"/>
      <c r="C15" s="2"/>
      <c r="D15" s="2"/>
      <c r="E15" s="2"/>
      <c r="F15" s="2"/>
    </row>
    <row r="16" spans="1:6">
      <c r="A16" s="2" t="s">
        <v>129</v>
      </c>
      <c r="B16" s="2"/>
      <c r="C16" s="2"/>
      <c r="D16" s="2"/>
      <c r="E16" s="2"/>
      <c r="F16" s="2"/>
    </row>
    <row r="17" spans="1:6">
      <c r="A17" s="2" t="s">
        <v>130</v>
      </c>
      <c r="B17" s="2"/>
      <c r="C17" s="2"/>
      <c r="D17" s="2"/>
      <c r="E17" s="2"/>
      <c r="F17" s="2"/>
    </row>
    <row r="18" spans="1:6">
      <c r="A18" s="2" t="s">
        <v>131</v>
      </c>
      <c r="B18" s="2"/>
      <c r="C18" s="2"/>
      <c r="D18" s="2"/>
      <c r="E18" s="2"/>
      <c r="F18" s="2"/>
    </row>
    <row r="19" spans="1:6">
      <c r="A19" s="2" t="s">
        <v>132</v>
      </c>
      <c r="B19" s="2"/>
      <c r="C19" s="2"/>
      <c r="D19" s="2"/>
      <c r="E19" s="2"/>
      <c r="F19" s="2"/>
    </row>
    <row r="20" spans="1:6">
      <c r="A20" s="2" t="s">
        <v>133</v>
      </c>
      <c r="B20" s="2"/>
      <c r="C20" s="2"/>
      <c r="D20" s="2"/>
      <c r="E20" s="2"/>
      <c r="F20" s="2"/>
    </row>
    <row r="21" spans="1:6">
      <c r="A21" s="2" t="s">
        <v>134</v>
      </c>
      <c r="B21" s="2"/>
      <c r="C21" s="2"/>
      <c r="D21" s="2"/>
      <c r="E21" s="2"/>
      <c r="F21" s="2"/>
    </row>
    <row r="22" spans="1:6">
      <c r="A22" s="2" t="s">
        <v>135</v>
      </c>
      <c r="B22" s="2"/>
      <c r="C22" s="2"/>
      <c r="D22" s="2"/>
      <c r="E22" s="2"/>
      <c r="F22" s="2"/>
    </row>
    <row r="23" spans="1:6">
      <c r="A23" s="2" t="s">
        <v>136</v>
      </c>
      <c r="B23" s="2"/>
      <c r="C23" s="2"/>
      <c r="D23" s="2"/>
      <c r="E23" s="2"/>
      <c r="F23" s="2"/>
    </row>
  </sheetData>
  <sortState ref="A3:A20">
    <sortCondition ref="A2:A20"/>
  </sortState>
  <mergeCells count="3">
    <mergeCell ref="A1:B1"/>
    <mergeCell ref="C1:D1"/>
    <mergeCell ref="E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КП с ндс</vt:lpstr>
      <vt:lpstr>Расчёт</vt:lpstr>
      <vt:lpstr>Цены на металл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Гужва</dc:creator>
  <cp:lastModifiedBy>admin</cp:lastModifiedBy>
  <dcterms:created xsi:type="dcterms:W3CDTF">2014-08-29T05:34:00Z</dcterms:created>
  <cp:lastPrinted>2024-07-01T07:34:00Z</cp:lastPrinted>
  <dcterms:modified xsi:type="dcterms:W3CDTF">2026-09-01T14:20:23Z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E53C23F942E14F52BA3FDB5340B9178E_13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