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819" firstSheet="0" activeTab="2" autoFilterDateGrouping="1"/>
  </bookViews>
  <sheets>
    <sheet name="КП с ндс" sheetId="1" state="visible" r:id="rId1"/>
    <sheet name="Расчёт" sheetId="2" state="visible" r:id="rId2"/>
    <sheet name="Цены на металл" sheetId="3" state="visible" r:id="rId3"/>
    <sheet name="Лист1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000"/>
    <numFmt numFmtId="165" formatCode="dd\.mm\.yyyy"/>
    <numFmt numFmtId="166" formatCode="#,##0.000"/>
    <numFmt numFmtId="167" formatCode="dd\.mmm"/>
    <numFmt numFmtId="168" formatCode="#,##0.00\ _₽"/>
    <numFmt numFmtId="169" formatCode="_-* #,##0.00\ &quot;₽&quot;_-;\-* #,##0.00\ &quot;₽&quot;_-;_-* &quot;-&quot;??\ &quot;₽&quot;_-;_-@_-"/>
    <numFmt numFmtId="170" formatCode="_-* #,##0\ &quot;₽&quot;_-;\-* #,##0\ &quot;₽&quot;_-;_-* &quot;-&quot;\ &quot;₽&quot;_-;_-@_-"/>
  </numFmts>
  <fonts count="35">
    <font>
      <name val="Calibri"/>
      <charset val="204"/>
      <color theme="1"/>
      <sz val="11"/>
      <scheme val="minor"/>
    </font>
    <font>
      <name val="Calibri"/>
      <charset val="204"/>
      <sz val="11"/>
      <scheme val="minor"/>
    </font>
    <font>
      <name val="Calibri"/>
      <charset val="204"/>
      <b val="1"/>
      <color theme="1"/>
      <sz val="14"/>
      <scheme val="minor"/>
    </font>
    <font>
      <name val="Calibri"/>
      <charset val="204"/>
      <color theme="1"/>
      <sz val="11"/>
    </font>
    <font>
      <name val="Calibri"/>
      <charset val="204"/>
      <b val="1"/>
      <color theme="1"/>
      <sz val="11"/>
      <scheme val="minor"/>
    </font>
    <font>
      <name val="Calibri"/>
      <charset val="204"/>
      <color theme="1"/>
      <sz val="12"/>
      <scheme val="minor"/>
    </font>
    <font>
      <name val="Calibri"/>
      <charset val="204"/>
      <b val="1"/>
      <color theme="1"/>
      <sz val="12"/>
      <scheme val="minor"/>
    </font>
    <font>
      <name val="Calibri"/>
      <charset val="204"/>
      <b val="1"/>
      <color theme="1"/>
      <sz val="13"/>
      <scheme val="minor"/>
    </font>
    <font>
      <name val="Calibri"/>
      <charset val="204"/>
      <color theme="1"/>
      <sz val="13"/>
      <scheme val="minor"/>
    </font>
    <font>
      <name val="Calibri"/>
      <charset val="204"/>
      <b val="1"/>
      <color theme="1"/>
      <sz val="16"/>
      <scheme val="minor"/>
    </font>
    <font>
      <name val="Calibri"/>
      <charset val="204"/>
      <color theme="1"/>
      <sz val="14"/>
      <scheme val="minor"/>
    </font>
    <font>
      <name val="Calibri"/>
      <charset val="204"/>
      <b val="1"/>
      <color theme="1"/>
      <sz val="10"/>
      <scheme val="minor"/>
    </font>
    <font>
      <name val="Calibri"/>
      <charset val="204"/>
      <color theme="1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204"/>
      <color theme="1"/>
      <sz val="13"/>
      <u val="single"/>
      <scheme val="minor"/>
    </font>
    <font>
      <name val="Calibri"/>
      <charset val="204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32" fillId="0" borderId="0" applyAlignment="1">
      <alignment vertical="center"/>
    </xf>
    <xf numFmtId="169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170" fontId="32" fillId="0" borderId="0" applyAlignment="1">
      <alignment vertical="center"/>
    </xf>
    <xf numFmtId="0" fontId="12" fillId="0" borderId="0"/>
    <xf numFmtId="0" fontId="14" fillId="0" borderId="0" applyAlignment="1">
      <alignment vertical="center"/>
    </xf>
    <xf numFmtId="0" fontId="32" fillId="3" borderId="19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0" applyAlignment="1">
      <alignment vertical="center"/>
    </xf>
    <xf numFmtId="0" fontId="19" fillId="0" borderId="20" applyAlignment="1">
      <alignment vertical="center"/>
    </xf>
    <xf numFmtId="0" fontId="20" fillId="0" borderId="21" applyAlignment="1">
      <alignment vertical="center"/>
    </xf>
    <xf numFmtId="0" fontId="20" fillId="0" borderId="0" applyAlignment="1">
      <alignment vertical="center"/>
    </xf>
    <xf numFmtId="0" fontId="21" fillId="4" borderId="22" applyAlignment="1">
      <alignment vertical="center"/>
    </xf>
    <xf numFmtId="0" fontId="22" fillId="5" borderId="23" applyAlignment="1">
      <alignment vertical="center"/>
    </xf>
    <xf numFmtId="0" fontId="23" fillId="5" borderId="22" applyAlignment="1">
      <alignment vertical="center"/>
    </xf>
    <xf numFmtId="0" fontId="24" fillId="6" borderId="24" applyAlignment="1">
      <alignment vertical="center"/>
    </xf>
    <xf numFmtId="0" fontId="25" fillId="0" borderId="25" applyAlignment="1">
      <alignment vertical="center"/>
    </xf>
    <xf numFmtId="0" fontId="26" fillId="0" borderId="26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2" fillId="0" borderId="0"/>
  </cellStyleXfs>
  <cellXfs count="12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4" fontId="0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4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6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5" pivotButton="0" quotePrefix="0" xfId="0"/>
    <xf numFmtId="4" fontId="0" fillId="0" borderId="1" pivotButton="0" quotePrefix="0" xfId="0"/>
    <xf numFmtId="165" fontId="0" fillId="0" borderId="0" pivotButton="0" quotePrefix="0" xfId="0"/>
    <xf numFmtId="4" fontId="0" fillId="0" borderId="0" pivotButton="0" quotePrefix="0" xfId="0"/>
    <xf numFmtId="3" fontId="1" fillId="0" borderId="1" applyAlignment="1" pivotButton="0" quotePrefix="0" xfId="0">
      <alignment horizontal="center" vertical="center"/>
    </xf>
    <xf numFmtId="167" fontId="0" fillId="0" borderId="0" pivotButton="0" quotePrefix="0" xfId="0"/>
    <xf numFmtId="10" fontId="0" fillId="0" borderId="1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168" fontId="0" fillId="0" borderId="8" applyAlignment="1" pivotButton="0" quotePrefix="0" xfId="0">
      <alignment horizontal="center" vertical="center" wrapText="1"/>
    </xf>
    <xf numFmtId="4" fontId="0" fillId="0" borderId="8" applyAlignment="1" pivotButton="0" quotePrefix="0" xfId="0">
      <alignment horizontal="right" vertical="center" wrapText="1"/>
    </xf>
    <xf numFmtId="168" fontId="0" fillId="0" borderId="9" applyAlignment="1" pivotButton="0" quotePrefix="0" xfId="0">
      <alignment horizontal="center" vertical="center" wrapText="1"/>
    </xf>
    <xf numFmtId="4" fontId="0" fillId="0" borderId="10" applyAlignment="1" pivotButton="0" quotePrefix="0" xfId="0">
      <alignment horizontal="right" vertical="center" wrapText="1"/>
    </xf>
    <xf numFmtId="2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6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3" fontId="4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11" applyAlignment="1" applyProtection="1" pivotButton="0" quotePrefix="0" xfId="0">
      <alignment horizontal="center" vertical="center" wrapText="1"/>
      <protection locked="0" hidden="0"/>
    </xf>
    <xf numFmtId="0" fontId="4" fillId="0" borderId="12" applyAlignment="1" applyProtection="1" pivotButton="0" quotePrefix="0" xfId="0">
      <alignment horizontal="center" vertical="center" wrapText="1"/>
      <protection locked="0" hidden="0"/>
    </xf>
    <xf numFmtId="3" fontId="11" fillId="0" borderId="12" applyAlignment="1" applyProtection="1" pivotButton="0" quotePrefix="0" xfId="0">
      <alignment horizontal="center" vertical="center" wrapText="1"/>
      <protection locked="0" hidden="0"/>
    </xf>
    <xf numFmtId="3" fontId="11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3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 wrapText="1"/>
    </xf>
    <xf numFmtId="4" fontId="0" fillId="0" borderId="15" applyAlignment="1" pivotButton="0" quotePrefix="0" xfId="0">
      <alignment horizontal="right" vertical="center" wrapText="1"/>
    </xf>
    <xf numFmtId="3" fontId="0" fillId="0" borderId="1" applyAlignment="1" applyProtection="1" pivotButton="0" quotePrefix="0" xfId="0">
      <alignment horizontal="center" vertical="center" wrapText="1"/>
      <protection locked="0" hidden="0"/>
    </xf>
    <xf numFmtId="4" fontId="0" fillId="0" borderId="1" applyAlignment="1" applyProtection="1" pivotButton="0" quotePrefix="0" xfId="0">
      <alignment horizontal="right" vertical="center" wrapText="1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7" applyAlignment="1" applyProtection="1" pivotButton="0" quotePrefix="0" xfId="0">
      <alignment horizontal="left" vertical="center" wrapText="1"/>
      <protection locked="0" hidden="0"/>
    </xf>
    <xf numFmtId="3" fontId="0" fillId="0" borderId="17" applyAlignment="1" applyProtection="1" pivotButton="0" quotePrefix="0" xfId="0">
      <alignment horizontal="center" vertical="center" wrapText="1"/>
      <protection locked="0" hidden="0"/>
    </xf>
    <xf numFmtId="4" fontId="0" fillId="0" borderId="17" applyAlignment="1" pivotButton="0" quotePrefix="0" xfId="0">
      <alignment horizontal="right" vertical="center" wrapText="1"/>
    </xf>
    <xf numFmtId="4" fontId="0" fillId="0" borderId="18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8" fillId="0" borderId="0" applyAlignment="1" applyProtection="1" pivotButton="0" quotePrefix="0" xfId="0">
      <alignment horizontal="right" vertical="center" wrapText="1"/>
      <protection locked="0" hidden="0"/>
    </xf>
    <xf numFmtId="4" fontId="8" fillId="0" borderId="0" applyAlignment="1" pivotButton="0" quotePrefix="0" xfId="0">
      <alignment vertical="center" wrapText="1"/>
    </xf>
    <xf numFmtId="3" fontId="8" fillId="0" borderId="0" applyAlignment="1" applyProtection="1" pivotButton="0" quotePrefix="0" xfId="0">
      <alignment horizontal="right" vertical="center"/>
      <protection locked="0" hidden="0"/>
    </xf>
    <xf numFmtId="3" fontId="2" fillId="0" borderId="0" applyAlignment="1" applyProtection="1" pivotButton="0" quotePrefix="0" xfId="0">
      <alignment horizontal="right" vertical="center" wrapText="1"/>
      <protection locked="0" hidden="0"/>
    </xf>
    <xf numFmtId="4" fontId="2" fillId="0" borderId="0" applyAlignment="1" pivotButton="0" quotePrefix="0" xfId="0">
      <alignment vertical="center" wrapText="1"/>
    </xf>
    <xf numFmtId="0" fontId="8" fillId="0" borderId="0" applyAlignment="1" applyProtection="1" pivotButton="0" quotePrefix="0" xfId="0">
      <alignment vertical="center" wrapText="1"/>
      <protection locked="0" hidden="0"/>
    </xf>
    <xf numFmtId="3" fontId="8" fillId="0" borderId="0" applyAlignment="1" applyProtection="1" pivotButton="0" quotePrefix="0" xfId="0">
      <alignment vertical="center" wrapText="1"/>
      <protection locked="0" hidden="0"/>
    </xf>
    <xf numFmtId="0" fontId="12" fillId="0" borderId="0" applyAlignment="1" applyProtection="1" pivotButton="0" quotePrefix="0" xfId="6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168" fontId="0" fillId="0" borderId="0" applyAlignment="1" pivotButton="0" quotePrefix="0" xfId="0">
      <alignment horizontal="center" vertical="center" wrapText="1"/>
    </xf>
    <xf numFmtId="0" fontId="0" fillId="0" borderId="7" pivotButton="0" quotePrefix="0" xfId="0"/>
    <xf numFmtId="168" fontId="0" fillId="0" borderId="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168" fontId="0" fillId="0" borderId="8" applyAlignment="1" pivotButton="0" quotePrefix="0" xfId="0">
      <alignment horizontal="center" vertical="center" wrapText="1"/>
    </xf>
    <xf numFmtId="0" fontId="0" fillId="0" borderId="6" pivotButton="0" quotePrefix="0" xfId="0"/>
    <xf numFmtId="168" fontId="0" fillId="0" borderId="9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0" pivotButton="0" quotePrefix="0" xfId="0"/>
    <xf numFmtId="167" fontId="0" fillId="0" borderId="0" pivotButton="0" quotePrefix="0" xfId="0"/>
    <xf numFmtId="0" fontId="0" fillId="0" borderId="32" pivotButton="0" quotePrefix="0" xfId="0"/>
    <xf numFmtId="166" fontId="0" fillId="0" borderId="0" applyAlignment="1" pivotButton="0" quotePrefix="0" xfId="0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4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6"/>
  <sheetViews>
    <sheetView topLeftCell="A10" workbookViewId="0">
      <selection activeCell="H10" sqref="H10"/>
    </sheetView>
  </sheetViews>
  <sheetFormatPr baseColWidth="8" defaultColWidth="9.111111111111111" defaultRowHeight="14.4"/>
  <cols>
    <col width="3.88888888888889" customWidth="1" style="60" min="1" max="1"/>
    <col width="63.1111111111111" customWidth="1" style="61" min="2" max="2"/>
    <col width="5.66666666666667" customWidth="1" style="60" min="3" max="3"/>
    <col width="13.3333333333333" customWidth="1" style="60" min="4" max="4"/>
    <col width="18.3333333333333" customWidth="1" style="62" min="5" max="5"/>
    <col width="9.111111111111111" customWidth="1" style="60" min="6" max="16384"/>
  </cols>
  <sheetData>
    <row r="2" ht="17.1" customFormat="1" customHeight="1" s="56">
      <c r="B2" s="63" t="n"/>
      <c r="C2" s="64" t="inlineStr">
        <is>
          <t>ООО НПО "Энергон"</t>
        </is>
      </c>
      <c r="D2" s="104" t="n"/>
      <c r="E2" s="104" t="n"/>
    </row>
    <row r="3" ht="17.1" customFormat="1" customHeight="1" s="56">
      <c r="B3" s="65" t="n"/>
      <c r="C3" s="66" t="inlineStr">
        <is>
          <t xml:space="preserve">   ИНН:   3663147250  </t>
        </is>
      </c>
      <c r="D3" s="104" t="n"/>
      <c r="E3" s="104" t="n"/>
    </row>
    <row r="4" ht="17.1" customFormat="1" customHeight="1" s="56">
      <c r="B4" s="63" t="n"/>
      <c r="C4" s="66" t="inlineStr">
        <is>
          <t>ОГРН:  1203600002760</t>
        </is>
      </c>
      <c r="D4" s="104" t="n"/>
      <c r="E4" s="104" t="n"/>
    </row>
    <row r="5" ht="17.1" customFormat="1" customHeight="1" s="56">
      <c r="B5" s="63" t="n"/>
      <c r="C5" s="66" t="inlineStr">
        <is>
          <t>КПП:    366301001</t>
        </is>
      </c>
      <c r="D5" s="104" t="n"/>
      <c r="E5" s="104" t="n"/>
    </row>
    <row r="6" ht="17.1" customFormat="1" customHeight="1" s="56">
      <c r="B6" s="63" t="n"/>
      <c r="C6" s="69" t="n"/>
      <c r="D6" s="69" t="n"/>
      <c r="E6" s="69" t="n"/>
    </row>
    <row r="7" ht="17.4" customHeight="1" s="18">
      <c r="A7" s="68" t="n"/>
      <c r="B7" s="68" t="inlineStr">
        <is>
          <t xml:space="preserve">№                               Дата: </t>
        </is>
      </c>
      <c r="C7" s="69" t="n"/>
      <c r="E7" s="70" t="n"/>
    </row>
    <row r="9" ht="21" customHeight="1" s="18">
      <c r="A9" s="71" t="inlineStr">
        <is>
          <t>Уважаемые Господа!</t>
        </is>
      </c>
      <c r="B9" s="104" t="n"/>
      <c r="C9" s="104" t="n"/>
      <c r="D9" s="104" t="n"/>
      <c r="E9" s="104" t="n"/>
    </row>
    <row r="10" ht="18" customHeight="1" s="18">
      <c r="A10" s="72" t="n"/>
      <c r="B10" s="73" t="n"/>
      <c r="C10" s="74" t="n"/>
      <c r="D10" s="74" t="n"/>
      <c r="E10" s="74" t="n"/>
    </row>
    <row r="11" ht="36" customHeight="1" s="18">
      <c r="A11" s="75" t="inlineStr">
        <is>
          <t>ООО НПО"Энергон" предлагает Вашему вниманию коммерческое предложение, согласно спецификации.</t>
        </is>
      </c>
      <c r="B11" s="104" t="n"/>
      <c r="C11" s="104" t="n"/>
      <c r="D11" s="104" t="n"/>
      <c r="E11" s="104" t="n"/>
    </row>
    <row r="12" ht="18" customHeight="1" s="18">
      <c r="A12" s="76" t="n"/>
      <c r="B12" s="76" t="n"/>
      <c r="C12" s="76" t="n"/>
      <c r="D12" s="76" t="n"/>
      <c r="E12" s="76" t="n"/>
    </row>
    <row r="13" ht="16.5" customHeight="1" s="18">
      <c r="A13" s="77" t="inlineStr">
        <is>
          <t>Спецификация:</t>
        </is>
      </c>
      <c r="B13" s="104" t="n"/>
      <c r="C13" s="104" t="n"/>
      <c r="D13" s="104" t="n"/>
      <c r="E13" s="104" t="n"/>
    </row>
    <row r="14" ht="39" customFormat="1" customHeight="1" s="57">
      <c r="A14" s="78" t="inlineStr">
        <is>
          <t>№</t>
        </is>
      </c>
      <c r="B14" s="79" t="inlineStr">
        <is>
          <t>Товары(работы, услуги)</t>
        </is>
      </c>
      <c r="C14" s="79" t="inlineStr">
        <is>
          <t>кол-во</t>
        </is>
      </c>
      <c r="D14" s="80" t="inlineStr">
        <is>
          <t>Цена за единицу с НДС (руб.)</t>
        </is>
      </c>
      <c r="E14" s="81" t="inlineStr">
        <is>
          <t>Сумма с НДС (руб.)</t>
        </is>
      </c>
    </row>
    <row r="15">
      <c r="A15" s="82" t="n">
        <v>1</v>
      </c>
      <c r="B15" s="83">
        <f>Расчёт!C3</f>
        <v/>
      </c>
      <c r="C15" s="84" t="n">
        <v>10</v>
      </c>
      <c r="D15" s="85">
        <f>Расчёт!L8</f>
        <v/>
      </c>
      <c r="E15" s="86">
        <f>D15*C15</f>
        <v/>
      </c>
    </row>
    <row r="16">
      <c r="A16" s="82" t="n"/>
      <c r="B16" s="83">
        <f>Расчёт!C12</f>
        <v/>
      </c>
      <c r="C16" s="87" t="n"/>
      <c r="D16" s="88" t="n"/>
      <c r="E16" s="86" t="n"/>
    </row>
    <row r="17">
      <c r="A17" s="82" t="n"/>
      <c r="B17" s="83">
        <f>Расчёт!C21</f>
        <v/>
      </c>
      <c r="C17" s="87" t="n"/>
      <c r="D17" s="88" t="n"/>
      <c r="E17" s="86" t="n"/>
    </row>
    <row r="18">
      <c r="A18" s="82" t="n"/>
      <c r="B18" s="83">
        <f>Расчёт!C30</f>
        <v/>
      </c>
      <c r="C18" s="87" t="n"/>
      <c r="D18" s="88" t="n"/>
      <c r="E18" s="86" t="n"/>
    </row>
    <row r="19">
      <c r="A19" s="82" t="n"/>
      <c r="B19" s="83">
        <f>Расчёт!C39</f>
        <v/>
      </c>
      <c r="C19" s="87" t="n"/>
      <c r="D19" s="85" t="n"/>
      <c r="E19" s="86" t="n"/>
    </row>
    <row r="20">
      <c r="A20" s="82" t="n"/>
      <c r="B20" s="83">
        <f>Расчёт!C48</f>
        <v/>
      </c>
      <c r="C20" s="87" t="n"/>
      <c r="D20" s="85" t="n"/>
      <c r="E20" s="86" t="n"/>
    </row>
    <row r="21">
      <c r="A21" s="82" t="n"/>
      <c r="B21" s="83">
        <f>Расчёт!C57</f>
        <v/>
      </c>
      <c r="C21" s="87" t="n"/>
      <c r="D21" s="85" t="n"/>
      <c r="E21" s="86" t="n"/>
    </row>
    <row r="22">
      <c r="A22" s="82" t="n"/>
      <c r="B22" s="83">
        <f>Расчёт!C66</f>
        <v/>
      </c>
      <c r="C22" s="87" t="n"/>
      <c r="D22" s="85" t="n"/>
      <c r="E22" s="86" t="n"/>
    </row>
    <row r="23">
      <c r="A23" s="82" t="n"/>
      <c r="B23" s="83">
        <f>Расчёт!C75</f>
        <v/>
      </c>
      <c r="C23" s="87" t="n"/>
      <c r="D23" s="85" t="n"/>
      <c r="E23" s="86" t="n"/>
    </row>
    <row r="24" ht="15.15" customHeight="1" s="18">
      <c r="A24" s="89" t="n"/>
      <c r="B24" s="90">
        <f>Расчёт!C84</f>
        <v/>
      </c>
      <c r="C24" s="91" t="n"/>
      <c r="D24" s="92" t="n"/>
      <c r="E24" s="93" t="n"/>
    </row>
    <row r="25">
      <c r="A25" s="57" t="n"/>
      <c r="C25" s="94" t="n"/>
      <c r="D25" s="95" t="n"/>
      <c r="E25" s="95" t="n"/>
    </row>
    <row r="26" ht="22.5" customHeight="1" s="18">
      <c r="A26" s="96" t="inlineStr">
        <is>
          <t>Итого без НДС:</t>
        </is>
      </c>
      <c r="B26" s="104" t="n"/>
      <c r="C26" s="104" t="n"/>
      <c r="D26" s="104" t="n"/>
      <c r="E26" s="97">
        <f>E28/1.22</f>
        <v/>
      </c>
    </row>
    <row r="27" ht="21.75" customHeight="1" s="18">
      <c r="A27" s="69" t="n"/>
      <c r="B27" s="69" t="n"/>
      <c r="C27" s="64" t="n"/>
      <c r="D27" s="98" t="inlineStr">
        <is>
          <t xml:space="preserve"> в том числе НДС 22%:</t>
        </is>
      </c>
      <c r="E27" s="97">
        <f>E28-E26</f>
        <v/>
      </c>
    </row>
    <row r="28" ht="24" customHeight="1" s="18">
      <c r="A28" s="99" t="inlineStr">
        <is>
          <t>Итого с НДС:</t>
        </is>
      </c>
      <c r="B28" s="104" t="n"/>
      <c r="C28" s="104" t="n"/>
      <c r="D28" s="104" t="n"/>
      <c r="E28" s="100">
        <f>SUM(E15:E24)</f>
        <v/>
      </c>
    </row>
    <row r="29" ht="18" customFormat="1" customHeight="1" s="58">
      <c r="A29" s="68" t="inlineStr">
        <is>
          <t xml:space="preserve"> Срок действия предложения - 3 рабочих дня.</t>
        </is>
      </c>
      <c r="B29" s="104" t="n"/>
      <c r="C29" s="104" t="n"/>
      <c r="D29" s="104" t="n"/>
      <c r="E29" s="104" t="n"/>
    </row>
    <row r="30" ht="18" customFormat="1" customHeight="1" s="59">
      <c r="A30" s="68" t="inlineStr">
        <is>
          <t xml:space="preserve"> Условия оплаты: обсуждаются при заказе.</t>
        </is>
      </c>
      <c r="B30" s="104" t="n"/>
      <c r="C30" s="104" t="n"/>
      <c r="D30" s="104" t="n"/>
      <c r="E30" s="104" t="n"/>
    </row>
    <row r="31" ht="18" customFormat="1" customHeight="1" s="58">
      <c r="A31" s="68" t="inlineStr">
        <is>
          <t xml:space="preserve"> Срок выполнения заказа - </t>
        </is>
      </c>
      <c r="B31" s="104" t="n"/>
      <c r="C31" s="104" t="n"/>
      <c r="D31" s="104" t="n"/>
      <c r="E31" s="104" t="n"/>
    </row>
    <row r="32" ht="17.4" customFormat="1" customHeight="1" s="58">
      <c r="A32" s="68" t="n"/>
      <c r="B32" s="68" t="n"/>
      <c r="C32" s="68" t="n"/>
      <c r="D32" s="68" t="n"/>
      <c r="E32" s="68" t="n"/>
    </row>
    <row r="33" ht="18" customFormat="1" customHeight="1" s="58">
      <c r="A33" s="68" t="inlineStr">
        <is>
          <t>С уважением,</t>
        </is>
      </c>
      <c r="B33" s="104" t="n"/>
      <c r="C33" s="101" t="n"/>
      <c r="D33" s="101" t="n"/>
      <c r="E33" s="102" t="n"/>
    </row>
    <row r="34" ht="18" customFormat="1" customHeight="1" s="58">
      <c r="A34" s="68" t="inlineStr">
        <is>
          <t>Пермяков Сергей Сергеевич</t>
        </is>
      </c>
      <c r="B34" s="104" t="n"/>
      <c r="C34" s="101" t="n"/>
      <c r="D34" s="101" t="n"/>
      <c r="E34" s="102" t="n"/>
    </row>
    <row r="35" ht="18" customFormat="1" customHeight="1" s="58">
      <c r="A35" s="68" t="inlineStr">
        <is>
          <t>E-mail:     pss@npo-energon.ru</t>
        </is>
      </c>
      <c r="B35" s="104" t="n"/>
      <c r="C35" s="103" t="n"/>
      <c r="D35" s="104" t="n"/>
      <c r="E35" s="104" t="n"/>
    </row>
    <row r="36" ht="18" customFormat="1" customHeight="1" s="58">
      <c r="A36" s="68" t="inlineStr">
        <is>
          <t>Тел.:        8-960-133-74-57</t>
        </is>
      </c>
      <c r="B36" s="104" t="n"/>
      <c r="C36" s="68" t="n"/>
      <c r="D36" s="104" t="n"/>
      <c r="E36" s="104" t="n"/>
    </row>
  </sheetData>
  <mergeCells count="18">
    <mergeCell ref="C2:E2"/>
    <mergeCell ref="A30:E30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A31:E31"/>
    <mergeCell ref="A28:D28"/>
    <mergeCell ref="C35:E35"/>
    <mergeCell ref="A9:E9"/>
    <mergeCell ref="A34:B34"/>
    <mergeCell ref="A35:B35"/>
  </mergeCells>
  <pageMargins left="0.62992125984252" right="0.236220472440945" top="0.748031496062992" bottom="0.748031496062992" header="0.31496062992126" footer="0.31496062992126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"/>
  <sheetViews>
    <sheetView topLeftCell="B1" zoomScale="85" zoomScaleNormal="85" workbookViewId="0">
      <selection activeCell="A10" sqref="A10:L10"/>
    </sheetView>
  </sheetViews>
  <sheetFormatPr baseColWidth="8" defaultColWidth="9.111111111111111" defaultRowHeight="14.4"/>
  <cols>
    <col width="25.1111111111111" customWidth="1" style="34" min="1" max="1"/>
    <col width="21.8888888888889" customWidth="1" style="34" min="2" max="2"/>
    <col width="20.3333333333333" customWidth="1" style="34" min="3" max="3"/>
    <col width="16.6666666666667" customWidth="1" style="34" min="4" max="4"/>
    <col width="12.3333333333333" customWidth="1" style="34" min="5" max="5"/>
    <col width="12.6666666666667" customWidth="1" style="35" min="6" max="6"/>
    <col width="15.6666666666667" customWidth="1" style="35" min="7" max="7"/>
    <col width="9.111111111111111" customWidth="1" style="36" min="8" max="8"/>
    <col width="15.6666666666667" customWidth="1" style="35" min="9" max="10"/>
    <col width="15.6666666666667" customWidth="1" style="105" min="11" max="11"/>
    <col width="15.6666666666667" customWidth="1" style="35" min="12" max="12"/>
    <col width="11.4444444444444" customWidth="1" style="34" min="13" max="13"/>
    <col width="16.1111111111111" customWidth="1" style="34" min="14" max="14"/>
    <col width="26.8888888888889" customWidth="1" style="34" min="15" max="15"/>
    <col width="15.6666666666667" customWidth="1" style="34" min="16" max="16"/>
    <col width="16.8888888888889" customWidth="1" style="34" min="17" max="17"/>
    <col width="14.8888888888889" customWidth="1" style="34" min="18" max="18"/>
    <col width="20" customWidth="1" style="34" min="19" max="19"/>
    <col width="9.111111111111111" customWidth="1" style="34" min="20" max="16384"/>
  </cols>
  <sheetData>
    <row r="1" ht="68.25" customHeight="1" s="18">
      <c r="A1" s="38" t="n">
        <v>1</v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</row>
    <row r="2" ht="57.6" customHeight="1" s="18">
      <c r="A2" s="39" t="inlineStr">
        <is>
          <t>Наименование</t>
        </is>
      </c>
      <c r="B2" s="39" t="inlineStr">
        <is>
          <t>Примечание</t>
        </is>
      </c>
      <c r="C2" s="39" t="inlineStr">
        <is>
          <t>Материал</t>
        </is>
      </c>
      <c r="D2" s="39" t="inlineStr">
        <is>
          <t>Цена за лист/кг. для порошковой покраски</t>
        </is>
      </c>
      <c r="E2" s="39" t="inlineStr">
        <is>
          <t>Листов/ м.кв. для порошковой покраски</t>
        </is>
      </c>
      <c r="F2" s="13" t="inlineStr">
        <is>
          <t>Стоимость материалов</t>
        </is>
      </c>
      <c r="G2" s="13" t="inlineStr">
        <is>
          <t>Стоимость часа</t>
        </is>
      </c>
      <c r="H2" s="40" t="inlineStr">
        <is>
          <t>Часов</t>
        </is>
      </c>
      <c r="I2" s="13" t="inlineStr">
        <is>
          <t>Стоимость работ</t>
        </is>
      </c>
      <c r="J2" s="13" t="inlineStr">
        <is>
          <t>Прибыль с часа/м2</t>
        </is>
      </c>
      <c r="K2" s="107" t="inlineStr">
        <is>
          <t>Прибыль с работ</t>
        </is>
      </c>
      <c r="L2" s="13" t="inlineStr">
        <is>
          <t>Итого</t>
        </is>
      </c>
      <c r="N2" s="42" t="inlineStr">
        <is>
          <t>Работы и материал</t>
        </is>
      </c>
      <c r="O2" s="108" t="n"/>
      <c r="P2" s="42" t="inlineStr">
        <is>
          <t>Время работы, ч</t>
        </is>
      </c>
      <c r="Q2" s="42" t="inlineStr">
        <is>
          <t>Себест., РУБ</t>
        </is>
      </c>
      <c r="R2" s="42" t="inlineStr">
        <is>
          <t>Прибыль, РУБ</t>
        </is>
      </c>
      <c r="S2" s="42" t="inlineStr">
        <is>
          <t>Всего</t>
        </is>
      </c>
    </row>
    <row r="3">
      <c r="A3" s="39" t="inlineStr">
        <is>
          <t>Тестовая деталь</t>
        </is>
      </c>
      <c r="B3" s="39" t="n"/>
      <c r="C3" s="43" t="inlineStr">
        <is>
          <t>2,0 мм Ст3 (2500х1250)</t>
        </is>
      </c>
      <c r="D3" s="13">
        <f>VLOOKUP(C3,'Цены на металл'!$A$3:$H$30,7,0)</f>
        <v/>
      </c>
      <c r="E3" s="39" t="n">
        <v>1</v>
      </c>
      <c r="F3" s="85">
        <f>D3*E3</f>
        <v/>
      </c>
      <c r="G3" s="45" t="n">
        <v>4800</v>
      </c>
      <c r="H3" s="40" t="n">
        <v>0.5</v>
      </c>
      <c r="I3" s="85">
        <f>H3*G3</f>
        <v/>
      </c>
      <c r="J3" s="85" t="n"/>
      <c r="K3" s="107">
        <f>H3*J3</f>
        <v/>
      </c>
      <c r="L3" s="85">
        <f>F3+I3+K3</f>
        <v/>
      </c>
      <c r="N3" s="39" t="inlineStr">
        <is>
          <t>Работа</t>
        </is>
      </c>
      <c r="O3" s="46" t="inlineStr">
        <is>
          <t>Лазерная резка</t>
        </is>
      </c>
      <c r="P3" s="47">
        <f>SUM(H3,H12,H21,H30,H39,H48,H57,H66,H75,H84)</f>
        <v/>
      </c>
      <c r="Q3" s="13">
        <f>I3+I12+I21+I30+I39+I48+I57+I66+I75+I84</f>
        <v/>
      </c>
      <c r="R3" s="107">
        <f>SUM(K3,K12,K21,K30,K39,K48,K57,K66,K75,K84)</f>
        <v/>
      </c>
      <c r="S3" s="107">
        <f>SUM(Q3:R7)</f>
        <v/>
      </c>
    </row>
    <row r="4">
      <c r="A4" s="39" t="inlineStr">
        <is>
          <t>Гибка (84 гибов в час)</t>
        </is>
      </c>
      <c r="B4" s="39" t="n"/>
      <c r="C4" s="39" t="n"/>
      <c r="D4" s="39" t="n"/>
      <c r="E4" s="39" t="n"/>
      <c r="F4" s="85">
        <f>D4*E4</f>
        <v/>
      </c>
      <c r="G4" s="45" t="n">
        <v>2685</v>
      </c>
      <c r="H4" s="40" t="n">
        <v>0.2</v>
      </c>
      <c r="I4" s="85">
        <f>H4*G4</f>
        <v/>
      </c>
      <c r="J4" s="85" t="n"/>
      <c r="K4" s="107">
        <f>H4*J4</f>
        <v/>
      </c>
      <c r="L4" s="85">
        <f>F4+I4+K4</f>
        <v/>
      </c>
      <c r="N4" s="109" t="n"/>
      <c r="O4" s="46" t="inlineStr">
        <is>
          <t>Гибка</t>
        </is>
      </c>
      <c r="P4" s="47">
        <f>SUM(H4,H13,H22,H31,H40,H49,H58,H67,H76,H85)</f>
        <v/>
      </c>
      <c r="Q4" s="13">
        <f>SUM(I4,I13,I22,I31,I40,I49,I58,I67,I76,I85)</f>
        <v/>
      </c>
      <c r="R4" s="107">
        <f>SUM(K4,K13,K22,K31,K40,K49,K58,K67,K76,K85)</f>
        <v/>
      </c>
      <c r="S4" s="109" t="n"/>
    </row>
    <row r="5">
      <c r="A5" s="39" t="inlineStr">
        <is>
          <t>Токарка</t>
        </is>
      </c>
      <c r="B5" s="39" t="n"/>
      <c r="C5" s="39" t="n"/>
      <c r="D5" s="39" t="n"/>
      <c r="E5" s="39" t="n"/>
      <c r="F5" s="85" t="n">
        <v>0</v>
      </c>
      <c r="G5" s="45" t="n">
        <v>4800</v>
      </c>
      <c r="H5" s="40" t="n"/>
      <c r="I5" s="85">
        <f>H5*G5</f>
        <v/>
      </c>
      <c r="J5" s="85" t="n"/>
      <c r="K5" s="107">
        <f>H5*J5</f>
        <v/>
      </c>
      <c r="L5" s="85">
        <f>F5+I5+K5</f>
        <v/>
      </c>
      <c r="N5" s="109" t="n"/>
      <c r="O5" s="46" t="inlineStr">
        <is>
          <t>Порошковая покраска</t>
        </is>
      </c>
      <c r="P5" s="47">
        <f>SUM(H7,H16,H25,H34,H43,H52,H61,H70,H79,H88)</f>
        <v/>
      </c>
      <c r="Q5" s="13">
        <f>SUM(I7,I16,I25,I34,I43,I52,I61,I70,I79,I88)</f>
        <v/>
      </c>
      <c r="R5" s="107">
        <f>SUM(K7,K16,K25,K34,K43,K52,K61,K70,K79,K88)</f>
        <v/>
      </c>
      <c r="S5" s="109" t="n"/>
    </row>
    <row r="6">
      <c r="A6" s="39" t="inlineStr">
        <is>
          <t>Сварка</t>
        </is>
      </c>
      <c r="B6" s="39" t="n"/>
      <c r="C6" s="39" t="n"/>
      <c r="D6" s="39" t="n"/>
      <c r="E6" s="39" t="n"/>
      <c r="F6" s="85">
        <f>D6*E6</f>
        <v/>
      </c>
      <c r="G6" s="45" t="n">
        <v>1980</v>
      </c>
      <c r="H6" s="40" t="n"/>
      <c r="I6" s="85">
        <f>H6*G6</f>
        <v/>
      </c>
      <c r="J6" s="85" t="n"/>
      <c r="K6" s="107">
        <f>H6*J6</f>
        <v/>
      </c>
      <c r="L6" s="85">
        <f>F6+I6+K6</f>
        <v/>
      </c>
      <c r="N6" s="109" t="n"/>
      <c r="O6" s="46" t="inlineStr">
        <is>
          <t>Сварка</t>
        </is>
      </c>
      <c r="P6" s="47">
        <f>SUM(H6,H15,H24,H33,H42,H51,H69,H78,H87)</f>
        <v/>
      </c>
      <c r="Q6" s="13">
        <f>SUM(I6,I15,I24,I33,I42,I51,I60,I69,I78,I87)</f>
        <v/>
      </c>
      <c r="R6" s="107">
        <f>SUM(K6,K15,K24,K33,K42,K51,K60,K69,K78,K87)</f>
        <v/>
      </c>
      <c r="S6" s="109" t="n"/>
    </row>
    <row r="7" ht="29.55" customHeight="1" s="18">
      <c r="A7" s="39" t="inlineStr">
        <is>
          <t>Порошковая покраска 5,53 кв. м/час.</t>
        </is>
      </c>
      <c r="B7" s="39" t="inlineStr">
        <is>
          <t>Порошковая покраска</t>
        </is>
      </c>
      <c r="C7" s="39" t="n"/>
      <c r="D7" s="39">
        <f>VLOOKUP(B7,'Цены на металл'!$A$36:$B$39,2,0)</f>
        <v/>
      </c>
      <c r="E7" s="39" t="n"/>
      <c r="F7" s="85">
        <f>E7*0.3*D7</f>
        <v/>
      </c>
      <c r="G7" s="45" t="n">
        <v>2500</v>
      </c>
      <c r="H7" s="40" t="n"/>
      <c r="I7" s="85">
        <f>H7*G7</f>
        <v/>
      </c>
      <c r="J7" s="85" t="n"/>
      <c r="K7" s="110">
        <f>J7*H7</f>
        <v/>
      </c>
      <c r="L7" s="49">
        <f>F7+I7+K7</f>
        <v/>
      </c>
      <c r="N7" s="111" t="n"/>
      <c r="O7" s="46" t="inlineStr">
        <is>
          <t>Токарка</t>
        </is>
      </c>
      <c r="P7" s="47">
        <f>SUM(H5,H14,H23,H32,H41,H50,H59,H77,H86,H68)</f>
        <v/>
      </c>
      <c r="Q7" s="13">
        <f>SUM(I5,I14,I23,I32,I41,I59,I68,I77,I86)</f>
        <v/>
      </c>
      <c r="R7" s="107">
        <f>SUM(K5,K14,K23,K32,K41,K50,K59,K68,K77,K86)</f>
        <v/>
      </c>
      <c r="S7" s="111" t="n"/>
    </row>
    <row r="8" ht="15.15" customHeight="1" s="18">
      <c r="K8" s="112">
        <f>SUM(K3:K7)</f>
        <v/>
      </c>
      <c r="L8" s="51">
        <f>SUM(L3:L7)</f>
        <v/>
      </c>
      <c r="N8" s="39" t="inlineStr">
        <is>
          <t>Материал</t>
        </is>
      </c>
      <c r="O8" s="46" t="inlineStr">
        <is>
          <t>Металл:</t>
        </is>
      </c>
      <c r="P8" s="47" t="n"/>
      <c r="Q8" s="13">
        <f>SUM(F3,F12,F21,F30,F39,F48,F57,F66,F75,F84)</f>
        <v/>
      </c>
      <c r="R8" s="39" t="n"/>
      <c r="S8" s="13">
        <f>SUM(Q8:Q10)</f>
        <v/>
      </c>
    </row>
    <row r="9">
      <c r="N9" s="109" t="n"/>
      <c r="O9" s="46" t="inlineStr">
        <is>
          <t>Краска порошок</t>
        </is>
      </c>
      <c r="P9" s="47" t="n"/>
      <c r="Q9" s="13">
        <f>SUM(F7,F16,F25,F34,F43,F52,F61,F70,F79,F88)</f>
        <v/>
      </c>
      <c r="R9" s="39" t="n"/>
      <c r="S9" s="109" t="n"/>
    </row>
    <row r="10">
      <c r="A10" s="38" t="n">
        <v>2</v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N10" s="111" t="n"/>
      <c r="O10" s="46" t="inlineStr">
        <is>
          <t>Покупные изделия</t>
        </is>
      </c>
      <c r="P10" s="47" t="n"/>
      <c r="Q10" s="39" t="n"/>
      <c r="R10" s="39" t="n"/>
      <c r="S10" s="111" t="n"/>
      <c r="T10" s="34" t="inlineStr">
        <is>
          <t>Проверка</t>
        </is>
      </c>
    </row>
    <row r="11" ht="70.5" customHeight="1" s="18">
      <c r="A11" s="39" t="inlineStr">
        <is>
          <t>Наименование</t>
        </is>
      </c>
      <c r="B11" s="39" t="inlineStr">
        <is>
          <t>Примечание</t>
        </is>
      </c>
      <c r="C11" s="39" t="inlineStr">
        <is>
          <t>Материал</t>
        </is>
      </c>
      <c r="D11" s="39" t="inlineStr">
        <is>
          <t>Цена за лист/кг. для порошковой покраски</t>
        </is>
      </c>
      <c r="E11" s="39" t="inlineStr">
        <is>
          <t>Листов/ м.кв. для порошковой покраски</t>
        </is>
      </c>
      <c r="F11" s="13" t="inlineStr">
        <is>
          <t>Стоимость материалов</t>
        </is>
      </c>
      <c r="G11" s="13" t="inlineStr">
        <is>
          <t>Стоимость часа</t>
        </is>
      </c>
      <c r="H11" s="40" t="inlineStr">
        <is>
          <t>Часов</t>
        </is>
      </c>
      <c r="I11" s="13" t="inlineStr">
        <is>
          <t>Стоимость работ</t>
        </is>
      </c>
      <c r="J11" s="13" t="inlineStr">
        <is>
          <t>Прибыль с часа/м2</t>
        </is>
      </c>
      <c r="K11" s="107" t="inlineStr">
        <is>
          <t>Прибыль с работ</t>
        </is>
      </c>
      <c r="L11" s="13" t="inlineStr">
        <is>
          <t>Итого</t>
        </is>
      </c>
      <c r="N11" s="42" t="inlineStr">
        <is>
          <t>Итого</t>
        </is>
      </c>
      <c r="O11" s="108" t="n"/>
      <c r="P11" s="52">
        <f>SUM(P3:P7)</f>
        <v/>
      </c>
      <c r="Q11" s="53">
        <f>SUM(Q3:Q10)</f>
        <v/>
      </c>
      <c r="R11" s="53">
        <f>SUM(R3:R10)</f>
        <v/>
      </c>
      <c r="S11" s="113">
        <f>SUM(S3:S10)</f>
        <v/>
      </c>
      <c r="T11" s="55">
        <f>L8+L17+L26+L35+L44+L53+L62+L71+L80+L89</f>
        <v/>
      </c>
    </row>
    <row r="12">
      <c r="A12" s="39" t="inlineStr">
        <is>
          <t>Изделие 2</t>
        </is>
      </c>
      <c r="B12" s="39" t="n"/>
      <c r="C12" s="43" t="n"/>
      <c r="D12" s="13">
        <f>VLOOKUP(C12,'Цены на металл'!$A$3:$H$30,7,0)</f>
        <v/>
      </c>
      <c r="E12" s="39" t="n"/>
      <c r="F12" s="85">
        <f>D12*E12</f>
        <v/>
      </c>
      <c r="G12" s="45" t="n">
        <v>4800</v>
      </c>
      <c r="H12" s="40" t="n"/>
      <c r="I12" s="85">
        <f>H12*G12</f>
        <v/>
      </c>
      <c r="J12" s="85" t="n"/>
      <c r="K12" s="107">
        <f>H12*J12</f>
        <v/>
      </c>
      <c r="L12" s="85">
        <f>F12+I12+K12</f>
        <v/>
      </c>
    </row>
    <row r="13">
      <c r="A13" s="39" t="inlineStr">
        <is>
          <t>Гибка (84 гибов в час)</t>
        </is>
      </c>
      <c r="B13" s="39" t="n"/>
      <c r="C13" s="39" t="n"/>
      <c r="D13" s="39" t="n"/>
      <c r="E13" s="39" t="n"/>
      <c r="F13" s="85">
        <f>D13*E13</f>
        <v/>
      </c>
      <c r="G13" s="45" t="n">
        <v>2685</v>
      </c>
      <c r="H13" s="40" t="n"/>
      <c r="I13" s="85">
        <f>H13*G13</f>
        <v/>
      </c>
      <c r="J13" s="85" t="n"/>
      <c r="K13" s="107">
        <f>H13*J13</f>
        <v/>
      </c>
      <c r="L13" s="85">
        <f>F13+I13+K13</f>
        <v/>
      </c>
    </row>
    <row r="14">
      <c r="A14" s="39" t="inlineStr">
        <is>
          <t>Токарка</t>
        </is>
      </c>
      <c r="B14" s="39" t="n"/>
      <c r="C14" s="39" t="n"/>
      <c r="D14" s="39" t="n"/>
      <c r="E14" s="39" t="n"/>
      <c r="F14" s="85" t="n">
        <v>0</v>
      </c>
      <c r="G14" s="45" t="n">
        <v>4800</v>
      </c>
      <c r="H14" s="40" t="n"/>
      <c r="I14" s="85">
        <f>G14*H14</f>
        <v/>
      </c>
      <c r="J14" s="85" t="n"/>
      <c r="K14" s="107">
        <f>H14*J14</f>
        <v/>
      </c>
      <c r="L14" s="85">
        <f>F14+I14+K14</f>
        <v/>
      </c>
    </row>
    <row r="15">
      <c r="A15" s="39" t="inlineStr">
        <is>
          <t>Сварка</t>
        </is>
      </c>
      <c r="B15" s="39" t="n"/>
      <c r="C15" s="39" t="n"/>
      <c r="D15" s="39" t="n"/>
      <c r="E15" s="39" t="n"/>
      <c r="F15" s="85">
        <f>D15*E15</f>
        <v/>
      </c>
      <c r="G15" s="45" t="n">
        <v>1980</v>
      </c>
      <c r="H15" s="40" t="n"/>
      <c r="I15" s="85">
        <f>H15*G15</f>
        <v/>
      </c>
      <c r="J15" s="85" t="n"/>
      <c r="K15" s="107">
        <f>H15*J15</f>
        <v/>
      </c>
      <c r="L15" s="85">
        <f>F15+I15+K15</f>
        <v/>
      </c>
    </row>
    <row r="16" ht="29.55" customHeight="1" s="18">
      <c r="A16" s="39" t="inlineStr">
        <is>
          <t>Порошковая покраска 5,53 кв. м/час.</t>
        </is>
      </c>
      <c r="B16" s="39" t="inlineStr">
        <is>
          <t>Порошковая покраска</t>
        </is>
      </c>
      <c r="C16" s="39" t="n"/>
      <c r="D16" s="39">
        <f>VLOOKUP(B16,'Цены на металл'!$A$36:$B$39,2,0)</f>
        <v/>
      </c>
      <c r="E16" s="39" t="n"/>
      <c r="F16" s="85">
        <f>E16*0.3*D16</f>
        <v/>
      </c>
      <c r="G16" s="45" t="n">
        <v>2500</v>
      </c>
      <c r="H16" s="40" t="n"/>
      <c r="I16" s="85">
        <f>H16*G16</f>
        <v/>
      </c>
      <c r="J16" s="85" t="n"/>
      <c r="K16" s="110">
        <f>J16*H16</f>
        <v/>
      </c>
      <c r="L16" s="49">
        <f>F16+I16+K16</f>
        <v/>
      </c>
      <c r="N16" s="1" t="inlineStr">
        <is>
          <t>Металл</t>
        </is>
      </c>
      <c r="O16" s="108" t="n"/>
      <c r="P16" s="1" t="inlineStr">
        <is>
          <t>Покраска</t>
        </is>
      </c>
      <c r="Q16" s="108" t="n"/>
      <c r="R16" s="1" t="inlineStr">
        <is>
          <t>Другое</t>
        </is>
      </c>
      <c r="S16" s="108" t="n"/>
    </row>
    <row r="17" ht="15.15" customHeight="1" s="18">
      <c r="K17" s="112">
        <f>SUM(K12:K16)</f>
        <v/>
      </c>
      <c r="L17" s="51">
        <f>SUM(L12:L16)</f>
        <v/>
      </c>
      <c r="N17" s="2" t="inlineStr">
        <is>
          <t>Марка стали</t>
        </is>
      </c>
      <c r="O17" s="2" t="inlineStr">
        <is>
          <t>Листов/ м.кв. для порошковой покраски</t>
        </is>
      </c>
      <c r="P17" s="2" t="inlineStr">
        <is>
          <t>Материал покраски/RAL</t>
        </is>
      </c>
      <c r="Q17" s="2" t="inlineStr">
        <is>
          <t>Использовано, кг.</t>
        </is>
      </c>
      <c r="R17" s="2" t="inlineStr">
        <is>
          <t>Материал</t>
        </is>
      </c>
      <c r="S17" s="2" t="inlineStr">
        <is>
          <t>Использовано</t>
        </is>
      </c>
    </row>
    <row r="18">
      <c r="N18" s="2">
        <f>C3</f>
        <v/>
      </c>
      <c r="O18" s="2">
        <f>E3</f>
        <v/>
      </c>
      <c r="P18" s="2">
        <f>C7</f>
        <v/>
      </c>
      <c r="Q18" s="2">
        <f>E7*0.3</f>
        <v/>
      </c>
      <c r="R18" s="2" t="n"/>
      <c r="S18" s="2" t="n"/>
    </row>
    <row r="19">
      <c r="A19" s="38" t="n">
        <v>3</v>
      </c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N19" s="2">
        <f>C12</f>
        <v/>
      </c>
      <c r="O19" s="2">
        <f>E12</f>
        <v/>
      </c>
      <c r="P19" s="2">
        <f>C16</f>
        <v/>
      </c>
      <c r="Q19" s="2">
        <f>E16*0.3</f>
        <v/>
      </c>
      <c r="R19" s="2" t="n"/>
      <c r="S19" s="2" t="n"/>
    </row>
    <row r="20" ht="42" customHeight="1" s="18">
      <c r="A20" s="39" t="inlineStr">
        <is>
          <t>Наименование</t>
        </is>
      </c>
      <c r="B20" s="39" t="inlineStr">
        <is>
          <t>Примечание</t>
        </is>
      </c>
      <c r="C20" s="39" t="inlineStr">
        <is>
          <t>Материал</t>
        </is>
      </c>
      <c r="D20" s="39" t="inlineStr">
        <is>
          <t>Цена за лист/кг. для порошковой покраски</t>
        </is>
      </c>
      <c r="E20" s="39" t="inlineStr">
        <is>
          <t>Листов/ м.кв. для порошковой покраски</t>
        </is>
      </c>
      <c r="F20" s="13" t="inlineStr">
        <is>
          <t>Стоимость материалов</t>
        </is>
      </c>
      <c r="G20" s="13" t="inlineStr">
        <is>
          <t>Стоимость часа</t>
        </is>
      </c>
      <c r="H20" s="40" t="inlineStr">
        <is>
          <t>Часов</t>
        </is>
      </c>
      <c r="I20" s="13" t="inlineStr">
        <is>
          <t>Стоимость работ</t>
        </is>
      </c>
      <c r="J20" s="13" t="inlineStr">
        <is>
          <t>Прибыль с часа/м2</t>
        </is>
      </c>
      <c r="K20" s="107" t="inlineStr">
        <is>
          <t>Прибыль с работ</t>
        </is>
      </c>
      <c r="L20" s="13" t="inlineStr">
        <is>
          <t>Итого</t>
        </is>
      </c>
      <c r="N20" s="2">
        <f>C21</f>
        <v/>
      </c>
      <c r="O20" s="2">
        <f>E21</f>
        <v/>
      </c>
      <c r="P20" s="2">
        <f>C25</f>
        <v/>
      </c>
      <c r="Q20" s="2">
        <f>E25*0.3</f>
        <v/>
      </c>
      <c r="R20" s="2" t="n"/>
      <c r="S20" s="2" t="n"/>
    </row>
    <row r="21">
      <c r="A21" s="39" t="inlineStr">
        <is>
          <t>Изделие 3</t>
        </is>
      </c>
      <c r="B21" s="39" t="n"/>
      <c r="C21" s="43" t="n"/>
      <c r="D21" s="13">
        <f>VLOOKUP(C21,'Цены на металл'!$A$3:$H$30,7,0)</f>
        <v/>
      </c>
      <c r="E21" s="39" t="n"/>
      <c r="F21" s="85">
        <f>D21*E21</f>
        <v/>
      </c>
      <c r="G21" s="45" t="n">
        <v>4800</v>
      </c>
      <c r="H21" s="40" t="n"/>
      <c r="I21" s="85">
        <f>H21*G21</f>
        <v/>
      </c>
      <c r="J21" s="85" t="n"/>
      <c r="K21" s="107">
        <f>H21*J21</f>
        <v/>
      </c>
      <c r="L21" s="85">
        <f>F21+I21+K21</f>
        <v/>
      </c>
      <c r="N21" s="2">
        <f>C30</f>
        <v/>
      </c>
      <c r="O21" s="2">
        <f>E30</f>
        <v/>
      </c>
      <c r="P21" s="2">
        <f>C34</f>
        <v/>
      </c>
      <c r="Q21" s="2">
        <f>E34*0.3</f>
        <v/>
      </c>
      <c r="R21" s="2" t="n"/>
      <c r="S21" s="2" t="n"/>
    </row>
    <row r="22">
      <c r="A22" s="39" t="inlineStr">
        <is>
          <t>Гибка (84 гибов в час)</t>
        </is>
      </c>
      <c r="B22" s="39" t="n"/>
      <c r="C22" s="39" t="n"/>
      <c r="D22" s="39" t="n"/>
      <c r="E22" s="39" t="n"/>
      <c r="F22" s="85">
        <f>D22*E22</f>
        <v/>
      </c>
      <c r="G22" s="45" t="n">
        <v>2685</v>
      </c>
      <c r="H22" s="40" t="n"/>
      <c r="I22" s="85">
        <f>H22*G22</f>
        <v/>
      </c>
      <c r="J22" s="85" t="n"/>
      <c r="K22" s="107">
        <f>H22*J22</f>
        <v/>
      </c>
      <c r="L22" s="85">
        <f>F22+I22+K22</f>
        <v/>
      </c>
      <c r="N22" s="2">
        <f>C39</f>
        <v/>
      </c>
      <c r="O22" s="2">
        <f>E39</f>
        <v/>
      </c>
      <c r="P22" s="2">
        <f>C43</f>
        <v/>
      </c>
      <c r="Q22" s="2">
        <f>E43*0.3</f>
        <v/>
      </c>
      <c r="R22" s="2" t="n"/>
      <c r="S22" s="2" t="n"/>
    </row>
    <row r="23">
      <c r="A23" s="39" t="inlineStr">
        <is>
          <t>Токарка</t>
        </is>
      </c>
      <c r="B23" s="39" t="n"/>
      <c r="C23" s="39" t="n"/>
      <c r="D23" s="39" t="n"/>
      <c r="E23" s="39" t="n"/>
      <c r="F23" s="85" t="n">
        <v>0</v>
      </c>
      <c r="G23" s="45" t="n">
        <v>4800</v>
      </c>
      <c r="H23" s="40" t="n"/>
      <c r="I23" s="85">
        <f>G23*H23</f>
        <v/>
      </c>
      <c r="J23" s="85" t="n"/>
      <c r="K23" s="107">
        <f>H23*J23</f>
        <v/>
      </c>
      <c r="L23" s="85">
        <f>F23+I23+K23</f>
        <v/>
      </c>
      <c r="N23" s="2">
        <f>C48</f>
        <v/>
      </c>
      <c r="O23" s="2">
        <f>E48</f>
        <v/>
      </c>
      <c r="P23" s="2">
        <f>C52</f>
        <v/>
      </c>
      <c r="Q23" s="2">
        <f>E52*0.3</f>
        <v/>
      </c>
      <c r="R23" s="2" t="n"/>
      <c r="S23" s="2" t="n"/>
    </row>
    <row r="24">
      <c r="A24" s="39" t="inlineStr">
        <is>
          <t>Сварка</t>
        </is>
      </c>
      <c r="B24" s="39" t="n"/>
      <c r="C24" s="39" t="n"/>
      <c r="D24" s="39" t="n"/>
      <c r="E24" s="39" t="n"/>
      <c r="F24" s="85">
        <f>D24*E24</f>
        <v/>
      </c>
      <c r="G24" s="45" t="n">
        <v>1980</v>
      </c>
      <c r="H24" s="40" t="n"/>
      <c r="I24" s="85">
        <f>H24*G24</f>
        <v/>
      </c>
      <c r="J24" s="85" t="n"/>
      <c r="K24" s="107">
        <f>H24*J24</f>
        <v/>
      </c>
      <c r="L24" s="85">
        <f>F24+I24+K24</f>
        <v/>
      </c>
      <c r="N24" s="2">
        <f>C57</f>
        <v/>
      </c>
      <c r="O24" s="2">
        <f>E57</f>
        <v/>
      </c>
      <c r="P24" s="2">
        <f>C61</f>
        <v/>
      </c>
      <c r="Q24" s="2">
        <f>E61*0.3</f>
        <v/>
      </c>
      <c r="R24" s="2" t="n"/>
      <c r="S24" s="2" t="n"/>
    </row>
    <row r="25" ht="29.55" customHeight="1" s="18">
      <c r="A25" s="39" t="inlineStr">
        <is>
          <t>Порошковая покраска 5,53 кв. м/час.</t>
        </is>
      </c>
      <c r="B25" s="39" t="inlineStr">
        <is>
          <t>Порошковая покраска</t>
        </is>
      </c>
      <c r="C25" s="39" t="n"/>
      <c r="D25" s="39">
        <f>VLOOKUP(B25,'Цены на металл'!$A$36:$B$39,2,0)</f>
        <v/>
      </c>
      <c r="E25" s="39" t="n"/>
      <c r="F25" s="85">
        <f>E25*0.3*D25</f>
        <v/>
      </c>
      <c r="G25" s="45" t="n">
        <v>2500</v>
      </c>
      <c r="H25" s="40" t="n"/>
      <c r="I25" s="85">
        <f>H25*G25</f>
        <v/>
      </c>
      <c r="J25" s="85" t="n"/>
      <c r="K25" s="110">
        <f>J25*H25</f>
        <v/>
      </c>
      <c r="L25" s="49">
        <f>F25+I25+K25</f>
        <v/>
      </c>
      <c r="N25" s="2">
        <f>C66</f>
        <v/>
      </c>
      <c r="O25" s="2">
        <f>E66</f>
        <v/>
      </c>
      <c r="P25" s="2">
        <f>C70</f>
        <v/>
      </c>
      <c r="Q25" s="2">
        <f>E70*0.3</f>
        <v/>
      </c>
      <c r="R25" s="2" t="n"/>
      <c r="S25" s="2" t="n"/>
    </row>
    <row r="26" ht="15.15" customHeight="1" s="18">
      <c r="K26" s="112">
        <f>SUM(K21:K25)</f>
        <v/>
      </c>
      <c r="L26" s="51">
        <f>SUM(L21:L25)</f>
        <v/>
      </c>
      <c r="N26" s="2">
        <f>C75</f>
        <v/>
      </c>
      <c r="O26" s="2">
        <f>E75</f>
        <v/>
      </c>
      <c r="P26" s="2">
        <f>C79</f>
        <v/>
      </c>
      <c r="Q26" s="2">
        <f>E79*0.3</f>
        <v/>
      </c>
      <c r="R26" s="2" t="n"/>
      <c r="S26" s="2" t="n"/>
    </row>
    <row r="27">
      <c r="N27" s="2">
        <f>C84</f>
        <v/>
      </c>
      <c r="O27" s="2">
        <f>E84</f>
        <v/>
      </c>
      <c r="P27" s="2">
        <f>C88</f>
        <v/>
      </c>
      <c r="Q27" s="2">
        <f>E88*0.3</f>
        <v/>
      </c>
      <c r="R27" s="2" t="n"/>
      <c r="S27" s="2" t="n"/>
    </row>
    <row r="28">
      <c r="A28" s="38" t="n">
        <v>4</v>
      </c>
      <c r="B28" s="106" t="n"/>
      <c r="C28" s="106" t="n"/>
      <c r="D28" s="106" t="n"/>
      <c r="E28" s="106" t="n"/>
      <c r="F28" s="106" t="n"/>
      <c r="G28" s="106" t="n"/>
      <c r="H28" s="106" t="n"/>
      <c r="I28" s="106" t="n"/>
      <c r="J28" s="106" t="n"/>
      <c r="K28" s="106" t="n"/>
      <c r="L28" s="106" t="n"/>
    </row>
    <row r="29" ht="58.5" customHeight="1" s="18">
      <c r="A29" s="39" t="inlineStr">
        <is>
          <t>Наименование</t>
        </is>
      </c>
      <c r="B29" s="39" t="inlineStr">
        <is>
          <t>Примечание</t>
        </is>
      </c>
      <c r="C29" s="39" t="inlineStr">
        <is>
          <t>Материал</t>
        </is>
      </c>
      <c r="D29" s="39" t="inlineStr">
        <is>
          <t>Цена за лист/кг. для порошковой покраски</t>
        </is>
      </c>
      <c r="E29" s="39" t="inlineStr">
        <is>
          <t>Листов/ м.кв. для порошковой покраски</t>
        </is>
      </c>
      <c r="F29" s="13" t="inlineStr">
        <is>
          <t>Стоимость материалов</t>
        </is>
      </c>
      <c r="G29" s="13" t="inlineStr">
        <is>
          <t>Стоимость часа</t>
        </is>
      </c>
      <c r="H29" s="40" t="inlineStr">
        <is>
          <t>Часов</t>
        </is>
      </c>
      <c r="I29" s="13" t="inlineStr">
        <is>
          <t>Стоимость работ</t>
        </is>
      </c>
      <c r="J29" s="13" t="inlineStr">
        <is>
          <t>Прибыль с часа/м2</t>
        </is>
      </c>
      <c r="K29" s="107" t="inlineStr">
        <is>
          <t>Прибыль с работ</t>
        </is>
      </c>
      <c r="L29" s="13" t="inlineStr">
        <is>
          <t>Итого</t>
        </is>
      </c>
    </row>
    <row r="30">
      <c r="A30" s="39" t="inlineStr">
        <is>
          <t>Изделие 4</t>
        </is>
      </c>
      <c r="B30" s="39" t="n"/>
      <c r="C30" s="43" t="n"/>
      <c r="D30" s="13">
        <f>VLOOKUP(C30,'Цены на металл'!$A$3:$H$30,7,0)</f>
        <v/>
      </c>
      <c r="E30" s="39" t="n"/>
      <c r="F30" s="85">
        <f>D30*E30</f>
        <v/>
      </c>
      <c r="G30" s="45" t="n">
        <v>4800</v>
      </c>
      <c r="H30" s="40" t="n"/>
      <c r="I30" s="85">
        <f>H30*G30</f>
        <v/>
      </c>
      <c r="J30" s="85" t="n"/>
      <c r="K30" s="107">
        <f>H30*J30</f>
        <v/>
      </c>
      <c r="L30" s="85">
        <f>F30+I30+K30</f>
        <v/>
      </c>
    </row>
    <row r="31">
      <c r="A31" s="39" t="inlineStr">
        <is>
          <t>Гибка (84 гибов в час)</t>
        </is>
      </c>
      <c r="B31" s="39" t="n"/>
      <c r="C31" s="39" t="n"/>
      <c r="D31" s="39" t="n"/>
      <c r="E31" s="39" t="n"/>
      <c r="F31" s="85">
        <f>D31*E31</f>
        <v/>
      </c>
      <c r="G31" s="45" t="n">
        <v>2685</v>
      </c>
      <c r="H31" s="40" t="n"/>
      <c r="I31" s="85">
        <f>H31*G31</f>
        <v/>
      </c>
      <c r="J31" s="85" t="n"/>
      <c r="K31" s="107">
        <f>H31*J31</f>
        <v/>
      </c>
      <c r="L31" s="85">
        <f>F31+I31+K31</f>
        <v/>
      </c>
    </row>
    <row r="32">
      <c r="A32" s="39" t="inlineStr">
        <is>
          <t>Токарка</t>
        </is>
      </c>
      <c r="B32" s="39" t="n"/>
      <c r="C32" s="39" t="n"/>
      <c r="D32" s="39" t="n"/>
      <c r="E32" s="39" t="n"/>
      <c r="F32" s="85" t="n">
        <v>0</v>
      </c>
      <c r="G32" s="45" t="n">
        <v>4800</v>
      </c>
      <c r="H32" s="40" t="n"/>
      <c r="I32" s="85">
        <f>G32*H32</f>
        <v/>
      </c>
      <c r="J32" s="85" t="n"/>
      <c r="K32" s="107">
        <f>H32*J32</f>
        <v/>
      </c>
      <c r="L32" s="85">
        <f>F32+I32+K32</f>
        <v/>
      </c>
    </row>
    <row r="33">
      <c r="A33" s="39" t="inlineStr">
        <is>
          <t>Сварка</t>
        </is>
      </c>
      <c r="B33" s="39" t="n"/>
      <c r="C33" s="39" t="n"/>
      <c r="D33" s="39" t="n"/>
      <c r="E33" s="39" t="n"/>
      <c r="F33" s="85">
        <f>D33*E33</f>
        <v/>
      </c>
      <c r="G33" s="45" t="n">
        <v>1980</v>
      </c>
      <c r="H33" s="40" t="n"/>
      <c r="I33" s="85">
        <f>H33*G33</f>
        <v/>
      </c>
      <c r="J33" s="85" t="n"/>
      <c r="K33" s="107">
        <f>H33*J33</f>
        <v/>
      </c>
      <c r="L33" s="85">
        <f>F33+I33+K33</f>
        <v/>
      </c>
    </row>
    <row r="34" ht="29.55" customHeight="1" s="18">
      <c r="A34" s="39" t="inlineStr">
        <is>
          <t>Порошковая покраска 5,53 кв. м/час.</t>
        </is>
      </c>
      <c r="B34" s="39" t="inlineStr">
        <is>
          <t>Порошковая покраска</t>
        </is>
      </c>
      <c r="C34" s="39" t="n"/>
      <c r="D34" s="39">
        <f>VLOOKUP(B34,'Цены на металл'!$A$36:$B$39,2,0)</f>
        <v/>
      </c>
      <c r="E34" s="39" t="n"/>
      <c r="F34" s="85">
        <f>E34*0.3*D34</f>
        <v/>
      </c>
      <c r="G34" s="45" t="n">
        <v>2500</v>
      </c>
      <c r="H34" s="40" t="n"/>
      <c r="I34" s="85">
        <f>H34*G34</f>
        <v/>
      </c>
      <c r="J34" s="85" t="n"/>
      <c r="K34" s="110">
        <f>J34*H34</f>
        <v/>
      </c>
      <c r="L34" s="49">
        <f>F34+I34+K34</f>
        <v/>
      </c>
    </row>
    <row r="35" ht="15.15" customHeight="1" s="18">
      <c r="K35" s="112">
        <f>SUM(K30:K34)</f>
        <v/>
      </c>
      <c r="L35" s="51">
        <f>SUM(L30:L34)</f>
        <v/>
      </c>
    </row>
    <row r="37">
      <c r="A37" s="38" t="n">
        <v>5</v>
      </c>
      <c r="B37" s="106" t="n"/>
      <c r="C37" s="106" t="n"/>
      <c r="D37" s="106" t="n"/>
      <c r="E37" s="106" t="n"/>
      <c r="F37" s="106" t="n"/>
      <c r="G37" s="106" t="n"/>
      <c r="H37" s="106" t="n"/>
      <c r="I37" s="106" t="n"/>
      <c r="J37" s="106" t="n"/>
      <c r="K37" s="106" t="n"/>
      <c r="L37" s="106" t="n"/>
    </row>
    <row r="38" ht="59.25" customHeight="1" s="18">
      <c r="A38" s="39" t="inlineStr">
        <is>
          <t>Наименование</t>
        </is>
      </c>
      <c r="B38" s="39" t="inlineStr">
        <is>
          <t>Примечание</t>
        </is>
      </c>
      <c r="C38" s="39" t="inlineStr">
        <is>
          <t>Материал</t>
        </is>
      </c>
      <c r="D38" s="39" t="inlineStr">
        <is>
          <t>Цена за лист/кг. для порошковой покраски</t>
        </is>
      </c>
      <c r="E38" s="39" t="inlineStr">
        <is>
          <t>Листов/ м.кв. для порошковой покраски</t>
        </is>
      </c>
      <c r="F38" s="13" t="inlineStr">
        <is>
          <t>Стоимость материалов</t>
        </is>
      </c>
      <c r="G38" s="13" t="inlineStr">
        <is>
          <t>Стоимость часа</t>
        </is>
      </c>
      <c r="H38" s="40" t="inlineStr">
        <is>
          <t>Часов</t>
        </is>
      </c>
      <c r="I38" s="13" t="inlineStr">
        <is>
          <t>Стоимость работ</t>
        </is>
      </c>
      <c r="J38" s="13" t="inlineStr">
        <is>
          <t>Прибыль с часа/м2</t>
        </is>
      </c>
      <c r="K38" s="107" t="inlineStr">
        <is>
          <t>Прибыль с работ</t>
        </is>
      </c>
      <c r="L38" s="13" t="inlineStr">
        <is>
          <t>Итого</t>
        </is>
      </c>
    </row>
    <row r="39">
      <c r="A39" s="39" t="inlineStr">
        <is>
          <t>Изделие 5</t>
        </is>
      </c>
      <c r="B39" s="39" t="n"/>
      <c r="C39" s="43" t="n"/>
      <c r="D39" s="13">
        <f>VLOOKUP(C39,'Цены на металл'!$A$3:$H$30,7,0)</f>
        <v/>
      </c>
      <c r="E39" s="39" t="n"/>
      <c r="F39" s="85">
        <f>D39*E39</f>
        <v/>
      </c>
      <c r="G39" s="45" t="n">
        <v>4800</v>
      </c>
      <c r="H39" s="40" t="n"/>
      <c r="I39" s="85">
        <f>H39*G39</f>
        <v/>
      </c>
      <c r="J39" s="85" t="n"/>
      <c r="K39" s="107">
        <f>H39*J39</f>
        <v/>
      </c>
      <c r="L39" s="85">
        <f>F39+I39+K39</f>
        <v/>
      </c>
    </row>
    <row r="40">
      <c r="A40" s="39" t="inlineStr">
        <is>
          <t>Гибка (84 гибов в час)</t>
        </is>
      </c>
      <c r="B40" s="39" t="n"/>
      <c r="C40" s="39" t="n"/>
      <c r="D40" s="39" t="n"/>
      <c r="E40" s="39" t="n"/>
      <c r="F40" s="85">
        <f>D40*E40</f>
        <v/>
      </c>
      <c r="G40" s="45" t="n">
        <v>2685</v>
      </c>
      <c r="H40" s="40" t="n"/>
      <c r="I40" s="85">
        <f>H40*G40</f>
        <v/>
      </c>
      <c r="J40" s="85" t="n"/>
      <c r="K40" s="107">
        <f>H40*J40</f>
        <v/>
      </c>
      <c r="L40" s="85">
        <f>F40+I40+K40</f>
        <v/>
      </c>
    </row>
    <row r="41">
      <c r="A41" s="39" t="inlineStr">
        <is>
          <t>Токарка</t>
        </is>
      </c>
      <c r="B41" s="39" t="n"/>
      <c r="C41" s="39" t="n"/>
      <c r="D41" s="39" t="n"/>
      <c r="E41" s="39" t="n"/>
      <c r="F41" s="85" t="n">
        <v>0</v>
      </c>
      <c r="G41" s="45" t="n">
        <v>4800</v>
      </c>
      <c r="H41" s="40" t="n"/>
      <c r="I41" s="85">
        <f>G41*H41</f>
        <v/>
      </c>
      <c r="J41" s="85" t="n"/>
      <c r="K41" s="107">
        <f>H41*J41</f>
        <v/>
      </c>
      <c r="L41" s="85">
        <f>F41+I41+K41</f>
        <v/>
      </c>
    </row>
    <row r="42">
      <c r="A42" s="39" t="inlineStr">
        <is>
          <t>Сварка</t>
        </is>
      </c>
      <c r="B42" s="39" t="n"/>
      <c r="C42" s="39" t="n"/>
      <c r="D42" s="39" t="n"/>
      <c r="E42" s="39" t="n"/>
      <c r="F42" s="85">
        <f>D42*E42</f>
        <v/>
      </c>
      <c r="G42" s="45" t="n">
        <v>1980</v>
      </c>
      <c r="H42" s="40" t="n"/>
      <c r="I42" s="85">
        <f>H42*G42</f>
        <v/>
      </c>
      <c r="J42" s="85" t="n"/>
      <c r="K42" s="107">
        <f>H42*J42</f>
        <v/>
      </c>
      <c r="L42" s="85">
        <f>F42+I42+K42</f>
        <v/>
      </c>
    </row>
    <row r="43" ht="29.55" customHeight="1" s="18">
      <c r="A43" s="39" t="inlineStr">
        <is>
          <t>Порошковая покраска 5,53 кв. м/час.</t>
        </is>
      </c>
      <c r="B43" s="39" t="inlineStr">
        <is>
          <t>Порошковая покраска</t>
        </is>
      </c>
      <c r="C43" s="39" t="n"/>
      <c r="D43" s="39">
        <f>VLOOKUP(B43,'Цены на металл'!$A$36:$B$39,2,0)</f>
        <v/>
      </c>
      <c r="E43" s="39" t="n"/>
      <c r="F43" s="85">
        <f>E43*0.3*D43</f>
        <v/>
      </c>
      <c r="G43" s="45" t="n">
        <v>2500</v>
      </c>
      <c r="H43" s="40" t="n"/>
      <c r="I43" s="85">
        <f>H43*G43</f>
        <v/>
      </c>
      <c r="J43" s="85" t="n"/>
      <c r="K43" s="110">
        <f>J43*H43</f>
        <v/>
      </c>
      <c r="L43" s="49">
        <f>F43+I43+K43</f>
        <v/>
      </c>
    </row>
    <row r="44" ht="15.15" customHeight="1" s="18">
      <c r="K44" s="112">
        <f>SUM(K39:K43)</f>
        <v/>
      </c>
      <c r="L44" s="51">
        <f>SUM(L39:L43)</f>
        <v/>
      </c>
    </row>
    <row r="46">
      <c r="A46" s="38" t="n">
        <v>6</v>
      </c>
      <c r="B46" s="106" t="n"/>
      <c r="C46" s="106" t="n"/>
      <c r="D46" s="106" t="n"/>
      <c r="E46" s="106" t="n"/>
      <c r="F46" s="106" t="n"/>
      <c r="G46" s="106" t="n"/>
      <c r="H46" s="106" t="n"/>
      <c r="I46" s="106" t="n"/>
      <c r="J46" s="106" t="n"/>
      <c r="K46" s="106" t="n"/>
      <c r="L46" s="106" t="n"/>
    </row>
    <row r="47" ht="60" customHeight="1" s="18">
      <c r="A47" s="39" t="inlineStr">
        <is>
          <t>Наименование</t>
        </is>
      </c>
      <c r="B47" s="39" t="inlineStr">
        <is>
          <t>Примечание</t>
        </is>
      </c>
      <c r="C47" s="39" t="inlineStr">
        <is>
          <t>Материал</t>
        </is>
      </c>
      <c r="D47" s="39" t="inlineStr">
        <is>
          <t>Цена за лист/кг. для порошковой покраски</t>
        </is>
      </c>
      <c r="E47" s="39" t="inlineStr">
        <is>
          <t>Листов/ м.кв. для порошковой покраски</t>
        </is>
      </c>
      <c r="F47" s="13" t="inlineStr">
        <is>
          <t>Стоимость материалов</t>
        </is>
      </c>
      <c r="G47" s="13" t="inlineStr">
        <is>
          <t>Стоимость часа</t>
        </is>
      </c>
      <c r="H47" s="40" t="inlineStr">
        <is>
          <t>Часов</t>
        </is>
      </c>
      <c r="I47" s="13" t="inlineStr">
        <is>
          <t>Стоимость работ</t>
        </is>
      </c>
      <c r="J47" s="13" t="inlineStr">
        <is>
          <t>Прибыль с часа/м2</t>
        </is>
      </c>
      <c r="K47" s="107" t="inlineStr">
        <is>
          <t>Прибыль с работ</t>
        </is>
      </c>
      <c r="L47" s="13" t="inlineStr">
        <is>
          <t>Итого</t>
        </is>
      </c>
    </row>
    <row r="48">
      <c r="A48" s="39" t="inlineStr">
        <is>
          <t>Изделие 6</t>
        </is>
      </c>
      <c r="B48" s="39" t="n"/>
      <c r="C48" s="43" t="n"/>
      <c r="D48" s="13">
        <f>VLOOKUP(C48,'Цены на металл'!$A$3:$H$30,7,0)</f>
        <v/>
      </c>
      <c r="E48" s="39" t="n"/>
      <c r="F48" s="85">
        <f>D48*E48</f>
        <v/>
      </c>
      <c r="G48" s="45" t="n">
        <v>4800</v>
      </c>
      <c r="H48" s="40" t="n"/>
      <c r="I48" s="85">
        <f>H48*G48</f>
        <v/>
      </c>
      <c r="J48" s="85" t="n"/>
      <c r="K48" s="107">
        <f>H48*J48</f>
        <v/>
      </c>
      <c r="L48" s="85">
        <f>F48+I48+K48</f>
        <v/>
      </c>
    </row>
    <row r="49">
      <c r="A49" s="39" t="inlineStr">
        <is>
          <t>Гибка (84 гибов в час)</t>
        </is>
      </c>
      <c r="B49" s="39" t="n"/>
      <c r="C49" s="39" t="n"/>
      <c r="D49" s="39" t="n"/>
      <c r="E49" s="39" t="n"/>
      <c r="F49" s="85">
        <f>D49*E49</f>
        <v/>
      </c>
      <c r="G49" s="45" t="n">
        <v>2685</v>
      </c>
      <c r="H49" s="40" t="n"/>
      <c r="I49" s="85">
        <f>H49*G49</f>
        <v/>
      </c>
      <c r="J49" s="85" t="n"/>
      <c r="K49" s="107">
        <f>H49*J49</f>
        <v/>
      </c>
      <c r="L49" s="85">
        <f>F49+I49+K49</f>
        <v/>
      </c>
    </row>
    <row r="50">
      <c r="A50" s="39" t="inlineStr">
        <is>
          <t>Токарка</t>
        </is>
      </c>
      <c r="B50" s="39" t="n"/>
      <c r="C50" s="39" t="n"/>
      <c r="D50" s="39" t="n"/>
      <c r="E50" s="39" t="n"/>
      <c r="F50" s="85" t="n">
        <v>0</v>
      </c>
      <c r="G50" s="45" t="n">
        <v>4800</v>
      </c>
      <c r="H50" s="40" t="n"/>
      <c r="I50" s="85">
        <f>G50*H50</f>
        <v/>
      </c>
      <c r="J50" s="85" t="n"/>
      <c r="K50" s="107">
        <f>H50*J50</f>
        <v/>
      </c>
      <c r="L50" s="85">
        <f>F50+I50+K50</f>
        <v/>
      </c>
    </row>
    <row r="51">
      <c r="A51" s="39" t="inlineStr">
        <is>
          <t>Сварка</t>
        </is>
      </c>
      <c r="B51" s="39" t="n"/>
      <c r="C51" s="39" t="n"/>
      <c r="D51" s="39" t="n"/>
      <c r="E51" s="39" t="n"/>
      <c r="F51" s="85">
        <f>D51*E51</f>
        <v/>
      </c>
      <c r="G51" s="45" t="n">
        <v>1980</v>
      </c>
      <c r="H51" s="40" t="n"/>
      <c r="I51" s="85">
        <f>H51*G51</f>
        <v/>
      </c>
      <c r="J51" s="85" t="n"/>
      <c r="K51" s="107">
        <f>H51*J51</f>
        <v/>
      </c>
      <c r="L51" s="85">
        <f>F51+I51+K51</f>
        <v/>
      </c>
    </row>
    <row r="52" ht="29.55" customHeight="1" s="18">
      <c r="A52" s="39" t="inlineStr">
        <is>
          <t>Порошковая покраска 5,53 кв. м/час.</t>
        </is>
      </c>
      <c r="B52" s="39" t="inlineStr">
        <is>
          <t>Порошковая покраска</t>
        </is>
      </c>
      <c r="C52" s="39" t="n"/>
      <c r="D52" s="39">
        <f>VLOOKUP(B52,'Цены на металл'!$A$36:$B$39,2,0)</f>
        <v/>
      </c>
      <c r="E52" s="39" t="n"/>
      <c r="F52" s="85">
        <f>E52*0.3*D52</f>
        <v/>
      </c>
      <c r="G52" s="45" t="n">
        <v>2500</v>
      </c>
      <c r="H52" s="40" t="n"/>
      <c r="I52" s="85">
        <f>H52*G52</f>
        <v/>
      </c>
      <c r="J52" s="85" t="n"/>
      <c r="K52" s="110">
        <f>J52*H52</f>
        <v/>
      </c>
      <c r="L52" s="49">
        <f>F52+I52+K52</f>
        <v/>
      </c>
    </row>
    <row r="53" ht="15.15" customHeight="1" s="18">
      <c r="K53" s="112">
        <f>SUM(K48:K52)</f>
        <v/>
      </c>
      <c r="L53" s="51">
        <f>SUM(L48:L52)</f>
        <v/>
      </c>
    </row>
    <row r="55">
      <c r="A55" s="38" t="n">
        <v>7</v>
      </c>
      <c r="B55" s="106" t="n"/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</row>
    <row r="56" ht="32.25" customHeight="1" s="18">
      <c r="A56" s="39" t="inlineStr">
        <is>
          <t>Наименование</t>
        </is>
      </c>
      <c r="B56" s="39" t="inlineStr">
        <is>
          <t>Примечание</t>
        </is>
      </c>
      <c r="C56" s="39" t="inlineStr">
        <is>
          <t>Материал</t>
        </is>
      </c>
      <c r="D56" s="39" t="inlineStr">
        <is>
          <t>Цена за лист/кг. для порошковой покраски</t>
        </is>
      </c>
      <c r="E56" s="39" t="inlineStr">
        <is>
          <t>Листов/ м.кв. для порошковой покраски</t>
        </is>
      </c>
      <c r="F56" s="13" t="inlineStr">
        <is>
          <t>Стоимость материалов</t>
        </is>
      </c>
      <c r="G56" s="13" t="inlineStr">
        <is>
          <t>Стоимость часа</t>
        </is>
      </c>
      <c r="H56" s="40" t="inlineStr">
        <is>
          <t>Часов</t>
        </is>
      </c>
      <c r="I56" s="13" t="inlineStr">
        <is>
          <t>Стоимость работ</t>
        </is>
      </c>
      <c r="J56" s="13" t="inlineStr">
        <is>
          <t>Прибыль с часа/м2</t>
        </is>
      </c>
      <c r="K56" s="107" t="inlineStr">
        <is>
          <t>Прибыль с работ</t>
        </is>
      </c>
      <c r="L56" s="13" t="inlineStr">
        <is>
          <t>Итого</t>
        </is>
      </c>
    </row>
    <row r="57">
      <c r="A57" s="39" t="inlineStr">
        <is>
          <t>Изделие 7</t>
        </is>
      </c>
      <c r="B57" s="39" t="n"/>
      <c r="C57" s="43" t="n"/>
      <c r="D57" s="13">
        <f>VLOOKUP(C57,'Цены на металл'!$A$3:$H$30,7,0)</f>
        <v/>
      </c>
      <c r="E57" s="39" t="n"/>
      <c r="F57" s="85">
        <f>D57*E57</f>
        <v/>
      </c>
      <c r="G57" s="45" t="n">
        <v>4800</v>
      </c>
      <c r="H57" s="40" t="n"/>
      <c r="I57" s="85">
        <f>H57*G57</f>
        <v/>
      </c>
      <c r="J57" s="85" t="n"/>
      <c r="K57" s="107">
        <f>H57*J57</f>
        <v/>
      </c>
      <c r="L57" s="85">
        <f>F57+I57+K57</f>
        <v/>
      </c>
    </row>
    <row r="58">
      <c r="A58" s="39" t="inlineStr">
        <is>
          <t>Гибка (84 гибов в час)</t>
        </is>
      </c>
      <c r="B58" s="39" t="n"/>
      <c r="C58" s="39" t="n"/>
      <c r="D58" s="39" t="n"/>
      <c r="E58" s="39" t="n"/>
      <c r="F58" s="85">
        <f>D58*E58</f>
        <v/>
      </c>
      <c r="G58" s="45" t="n">
        <v>2685</v>
      </c>
      <c r="H58" s="40" t="n"/>
      <c r="I58" s="85">
        <f>H58*G58</f>
        <v/>
      </c>
      <c r="J58" s="85" t="n"/>
      <c r="K58" s="107">
        <f>H58*J58</f>
        <v/>
      </c>
      <c r="L58" s="85">
        <f>F58+I58+K58</f>
        <v/>
      </c>
    </row>
    <row r="59">
      <c r="A59" s="39" t="inlineStr">
        <is>
          <t>Токарка</t>
        </is>
      </c>
      <c r="B59" s="39" t="n"/>
      <c r="C59" s="39" t="n"/>
      <c r="D59" s="39" t="n"/>
      <c r="E59" s="39" t="n"/>
      <c r="F59" s="85" t="n">
        <v>0</v>
      </c>
      <c r="G59" s="45" t="n">
        <v>4800</v>
      </c>
      <c r="H59" s="40" t="n"/>
      <c r="I59" s="85">
        <f>G59*H59</f>
        <v/>
      </c>
      <c r="J59" s="85" t="n"/>
      <c r="K59" s="107">
        <f>H59*J59</f>
        <v/>
      </c>
      <c r="L59" s="85">
        <f>F59+I59+K59</f>
        <v/>
      </c>
    </row>
    <row r="60">
      <c r="A60" s="39" t="inlineStr">
        <is>
          <t>Сварка</t>
        </is>
      </c>
      <c r="B60" s="39" t="n"/>
      <c r="C60" s="39" t="n"/>
      <c r="D60" s="39" t="n"/>
      <c r="E60" s="39" t="n"/>
      <c r="F60" s="85">
        <f>D60*E60</f>
        <v/>
      </c>
      <c r="G60" s="45" t="n">
        <v>1980</v>
      </c>
      <c r="H60" s="40" t="n"/>
      <c r="I60" s="85">
        <f>H60*G60</f>
        <v/>
      </c>
      <c r="J60" s="85" t="n"/>
      <c r="K60" s="107">
        <f>H60*J60</f>
        <v/>
      </c>
      <c r="L60" s="85">
        <f>F60+I60+K60</f>
        <v/>
      </c>
    </row>
    <row r="61" ht="29.55" customHeight="1" s="18">
      <c r="A61" s="39" t="inlineStr">
        <is>
          <t>Порошковая покраска 5,53 кв. м/час.</t>
        </is>
      </c>
      <c r="B61" s="39" t="inlineStr">
        <is>
          <t>Порошковая покраска</t>
        </is>
      </c>
      <c r="C61" s="39" t="n"/>
      <c r="D61" s="39">
        <f>VLOOKUP(B61,'Цены на металл'!$A$36:$B$39,2,0)</f>
        <v/>
      </c>
      <c r="E61" s="39" t="n"/>
      <c r="F61" s="85">
        <f>E61*0.3*D61</f>
        <v/>
      </c>
      <c r="G61" s="45" t="n">
        <v>2500</v>
      </c>
      <c r="H61" s="40" t="n"/>
      <c r="I61" s="85">
        <f>H61*G61</f>
        <v/>
      </c>
      <c r="J61" s="85" t="n"/>
      <c r="K61" s="110">
        <f>J61*H61</f>
        <v/>
      </c>
      <c r="L61" s="49">
        <f>F61+I61+K61</f>
        <v/>
      </c>
    </row>
    <row r="62" ht="15.15" customHeight="1" s="18">
      <c r="K62" s="112">
        <f>SUM(K57:K61)</f>
        <v/>
      </c>
      <c r="L62" s="51">
        <f>SUM(L57:L61)</f>
        <v/>
      </c>
    </row>
    <row r="64">
      <c r="A64" s="38" t="n">
        <v>8</v>
      </c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  <c r="K64" s="106" t="n"/>
      <c r="L64" s="106" t="n"/>
    </row>
    <row r="65" ht="45.75" customHeight="1" s="18">
      <c r="A65" s="39" t="inlineStr">
        <is>
          <t>Наименование</t>
        </is>
      </c>
      <c r="B65" s="39" t="inlineStr">
        <is>
          <t>Примечание</t>
        </is>
      </c>
      <c r="C65" s="39" t="inlineStr">
        <is>
          <t>Материал</t>
        </is>
      </c>
      <c r="D65" s="39" t="inlineStr">
        <is>
          <t>Цена за лист/кг. для порошковой покраски</t>
        </is>
      </c>
      <c r="E65" s="39" t="inlineStr">
        <is>
          <t>Листов/ м.кв. для порошковой покраски</t>
        </is>
      </c>
      <c r="F65" s="13" t="inlineStr">
        <is>
          <t>Стоимость материалов</t>
        </is>
      </c>
      <c r="G65" s="13" t="inlineStr">
        <is>
          <t>Стоимость часа</t>
        </is>
      </c>
      <c r="H65" s="40" t="inlineStr">
        <is>
          <t>Часов</t>
        </is>
      </c>
      <c r="I65" s="13" t="inlineStr">
        <is>
          <t>Стоимость работ</t>
        </is>
      </c>
      <c r="J65" s="13" t="inlineStr">
        <is>
          <t>Прибыль с часа/м2</t>
        </is>
      </c>
      <c r="K65" s="107" t="inlineStr">
        <is>
          <t>Прибыль с работ</t>
        </is>
      </c>
      <c r="L65" s="13" t="inlineStr">
        <is>
          <t>Итого</t>
        </is>
      </c>
    </row>
    <row r="66">
      <c r="A66" s="39" t="inlineStr">
        <is>
          <t>Изделие 8</t>
        </is>
      </c>
      <c r="B66" s="39" t="n"/>
      <c r="C66" s="43" t="n"/>
      <c r="D66" s="13">
        <f>VLOOKUP(C66,'Цены на металл'!$A$3:$H$30,7,0)</f>
        <v/>
      </c>
      <c r="E66" s="39" t="n"/>
      <c r="F66" s="85">
        <f>D66*E66</f>
        <v/>
      </c>
      <c r="G66" s="45" t="n">
        <v>4800</v>
      </c>
      <c r="H66" s="40" t="n"/>
      <c r="I66" s="85">
        <f>H66*G66</f>
        <v/>
      </c>
      <c r="J66" s="85" t="n"/>
      <c r="K66" s="107">
        <f>H66*J66</f>
        <v/>
      </c>
      <c r="L66" s="85">
        <f>F66+I66+K66</f>
        <v/>
      </c>
    </row>
    <row r="67">
      <c r="A67" s="39" t="inlineStr">
        <is>
          <t>Гибка (84 гибов в час)</t>
        </is>
      </c>
      <c r="B67" s="39" t="n"/>
      <c r="C67" s="39" t="n"/>
      <c r="D67" s="39" t="n"/>
      <c r="E67" s="39" t="n"/>
      <c r="F67" s="85">
        <f>D67*E67</f>
        <v/>
      </c>
      <c r="G67" s="45" t="n">
        <v>2685</v>
      </c>
      <c r="H67" s="40" t="n"/>
      <c r="I67" s="85">
        <f>H67*G67</f>
        <v/>
      </c>
      <c r="J67" s="85" t="n"/>
      <c r="K67" s="107">
        <f>H67*J67</f>
        <v/>
      </c>
      <c r="L67" s="85">
        <f>F67+I67+K67</f>
        <v/>
      </c>
    </row>
    <row r="68">
      <c r="A68" s="39" t="inlineStr">
        <is>
          <t>Токарка</t>
        </is>
      </c>
      <c r="B68" s="39" t="n"/>
      <c r="C68" s="39" t="n"/>
      <c r="D68" s="39" t="n"/>
      <c r="E68" s="39" t="n"/>
      <c r="F68" s="85" t="n">
        <v>0</v>
      </c>
      <c r="G68" s="45" t="n">
        <v>4800</v>
      </c>
      <c r="H68" s="40" t="n"/>
      <c r="I68" s="85">
        <f>G68*H68</f>
        <v/>
      </c>
      <c r="J68" s="85" t="n"/>
      <c r="K68" s="107">
        <f>H68*J68</f>
        <v/>
      </c>
      <c r="L68" s="85">
        <f>F68+I68+K68</f>
        <v/>
      </c>
    </row>
    <row r="69">
      <c r="A69" s="39" t="inlineStr">
        <is>
          <t>Сварка</t>
        </is>
      </c>
      <c r="B69" s="39" t="n"/>
      <c r="C69" s="39" t="n"/>
      <c r="D69" s="39" t="n"/>
      <c r="E69" s="39" t="n"/>
      <c r="F69" s="85">
        <f>D69*E69</f>
        <v/>
      </c>
      <c r="G69" s="45" t="n">
        <v>1980</v>
      </c>
      <c r="H69" s="40" t="n"/>
      <c r="I69" s="85">
        <f>H69*G69</f>
        <v/>
      </c>
      <c r="J69" s="85" t="n"/>
      <c r="K69" s="107">
        <f>H69*J69</f>
        <v/>
      </c>
      <c r="L69" s="85">
        <f>F69+I69+K69</f>
        <v/>
      </c>
    </row>
    <row r="70" ht="29.55" customHeight="1" s="18">
      <c r="A70" s="39" t="inlineStr">
        <is>
          <t>Порошковая покраска 5,53 кв. м/час.</t>
        </is>
      </c>
      <c r="B70" s="39" t="inlineStr">
        <is>
          <t>Порошковая покраска</t>
        </is>
      </c>
      <c r="C70" s="39" t="n"/>
      <c r="D70" s="39">
        <f>VLOOKUP(B70,'Цены на металл'!$A$36:$B$39,2,0)</f>
        <v/>
      </c>
      <c r="E70" s="39" t="n"/>
      <c r="F70" s="85">
        <f>E70*0.3*D70</f>
        <v/>
      </c>
      <c r="G70" s="45" t="n">
        <v>2500</v>
      </c>
      <c r="H70" s="40" t="n"/>
      <c r="I70" s="85">
        <f>H70*G70</f>
        <v/>
      </c>
      <c r="J70" s="85" t="n"/>
      <c r="K70" s="110">
        <f>J70*H70</f>
        <v/>
      </c>
      <c r="L70" s="49">
        <f>F70+I70+K70</f>
        <v/>
      </c>
    </row>
    <row r="71" ht="15.15" customHeight="1" s="18">
      <c r="K71" s="112">
        <f>SUM(K66:K70)</f>
        <v/>
      </c>
      <c r="L71" s="51">
        <f>SUM(L66:L70)</f>
        <v/>
      </c>
    </row>
    <row r="73">
      <c r="A73" s="38" t="n">
        <v>9</v>
      </c>
      <c r="B73" s="106" t="n"/>
      <c r="C73" s="106" t="n"/>
      <c r="D73" s="106" t="n"/>
      <c r="E73" s="106" t="n"/>
      <c r="F73" s="106" t="n"/>
      <c r="G73" s="106" t="n"/>
      <c r="H73" s="106" t="n"/>
      <c r="I73" s="106" t="n"/>
      <c r="J73" s="106" t="n"/>
      <c r="K73" s="106" t="n"/>
      <c r="L73" s="106" t="n"/>
    </row>
    <row r="74" ht="48" customHeight="1" s="18">
      <c r="A74" s="39" t="inlineStr">
        <is>
          <t>Наименование</t>
        </is>
      </c>
      <c r="B74" s="39" t="inlineStr">
        <is>
          <t>Примечание</t>
        </is>
      </c>
      <c r="C74" s="39" t="inlineStr">
        <is>
          <t>Материал</t>
        </is>
      </c>
      <c r="D74" s="39" t="inlineStr">
        <is>
          <t>Цена за лист/кг. для порошковой покраски</t>
        </is>
      </c>
      <c r="E74" s="39" t="inlineStr">
        <is>
          <t>Листов/ м.кв. для порошковой покраски</t>
        </is>
      </c>
      <c r="F74" s="13" t="inlineStr">
        <is>
          <t>Стоимость материалов</t>
        </is>
      </c>
      <c r="G74" s="13" t="inlineStr">
        <is>
          <t>Стоимость часа</t>
        </is>
      </c>
      <c r="H74" s="40" t="inlineStr">
        <is>
          <t>Часов</t>
        </is>
      </c>
      <c r="I74" s="13" t="inlineStr">
        <is>
          <t>Стоимость работ</t>
        </is>
      </c>
      <c r="J74" s="13" t="inlineStr">
        <is>
          <t>Прибыль с часа/м2</t>
        </is>
      </c>
      <c r="K74" s="107" t="inlineStr">
        <is>
          <t>Прибыль с работ</t>
        </is>
      </c>
      <c r="L74" s="13" t="inlineStr">
        <is>
          <t>Итого</t>
        </is>
      </c>
    </row>
    <row r="75">
      <c r="A75" s="39" t="inlineStr">
        <is>
          <t>Изделие 9</t>
        </is>
      </c>
      <c r="B75" s="39" t="n"/>
      <c r="C75" s="43" t="n"/>
      <c r="D75" s="13">
        <f>VLOOKUP(C75,'Цены на металл'!$A$3:$H$30,7,0)</f>
        <v/>
      </c>
      <c r="E75" s="39" t="n"/>
      <c r="F75" s="85">
        <f>D75*E75</f>
        <v/>
      </c>
      <c r="G75" s="45" t="n">
        <v>4800</v>
      </c>
      <c r="H75" s="40" t="n"/>
      <c r="I75" s="85">
        <f>H75*G75</f>
        <v/>
      </c>
      <c r="J75" s="85" t="n"/>
      <c r="K75" s="107">
        <f>H75*J75</f>
        <v/>
      </c>
      <c r="L75" s="85">
        <f>F75+I75+K75</f>
        <v/>
      </c>
    </row>
    <row r="76">
      <c r="A76" s="39" t="inlineStr">
        <is>
          <t>Гибка (84 гибов в час)</t>
        </is>
      </c>
      <c r="B76" s="39" t="n"/>
      <c r="C76" s="39" t="n"/>
      <c r="D76" s="39" t="n"/>
      <c r="E76" s="39" t="n"/>
      <c r="F76" s="85">
        <f>D76*E76</f>
        <v/>
      </c>
      <c r="G76" s="45" t="n">
        <v>2685</v>
      </c>
      <c r="H76" s="40" t="n"/>
      <c r="I76" s="85">
        <f>H76*G76</f>
        <v/>
      </c>
      <c r="J76" s="85" t="n"/>
      <c r="K76" s="107">
        <f>H76*J76</f>
        <v/>
      </c>
      <c r="L76" s="85">
        <f>F76+I76+K76</f>
        <v/>
      </c>
    </row>
    <row r="77">
      <c r="A77" s="39" t="inlineStr">
        <is>
          <t>Токарка</t>
        </is>
      </c>
      <c r="B77" s="39" t="n"/>
      <c r="C77" s="39" t="n"/>
      <c r="D77" s="39" t="n"/>
      <c r="E77" s="39" t="n"/>
      <c r="F77" s="85" t="n">
        <v>0</v>
      </c>
      <c r="G77" s="45" t="n">
        <v>4800</v>
      </c>
      <c r="H77" s="40" t="n"/>
      <c r="I77" s="85">
        <f>G77*H77</f>
        <v/>
      </c>
      <c r="J77" s="85" t="n"/>
      <c r="K77" s="107">
        <f>H77*J77</f>
        <v/>
      </c>
      <c r="L77" s="85">
        <f>F77+I77+K77</f>
        <v/>
      </c>
    </row>
    <row r="78">
      <c r="A78" s="39" t="inlineStr">
        <is>
          <t>Сварка</t>
        </is>
      </c>
      <c r="B78" s="39" t="n"/>
      <c r="C78" s="39" t="n"/>
      <c r="D78" s="39" t="n"/>
      <c r="E78" s="39" t="n"/>
      <c r="F78" s="85">
        <f>D78*E78</f>
        <v/>
      </c>
      <c r="G78" s="45" t="n">
        <v>1980</v>
      </c>
      <c r="H78" s="40" t="n"/>
      <c r="I78" s="85">
        <f>H78*G78</f>
        <v/>
      </c>
      <c r="J78" s="85" t="n"/>
      <c r="K78" s="107">
        <f>H78*J78</f>
        <v/>
      </c>
      <c r="L78" s="85">
        <f>F78+I78+K78</f>
        <v/>
      </c>
    </row>
    <row r="79" ht="29.55" customHeight="1" s="18">
      <c r="A79" s="39" t="inlineStr">
        <is>
          <t>Порошковая покраска 5,53 кв. м/час.</t>
        </is>
      </c>
      <c r="B79" s="39" t="inlineStr">
        <is>
          <t>Порошковая покраска</t>
        </is>
      </c>
      <c r="C79" s="39" t="n"/>
      <c r="D79" s="39">
        <f>VLOOKUP(B79,'Цены на металл'!$A$36:$B$39,2,0)</f>
        <v/>
      </c>
      <c r="E79" s="39" t="n"/>
      <c r="F79" s="85">
        <f>E79*0.3*D79</f>
        <v/>
      </c>
      <c r="G79" s="45" t="n">
        <v>2500</v>
      </c>
      <c r="H79" s="40" t="n"/>
      <c r="I79" s="85">
        <f>H79*G79</f>
        <v/>
      </c>
      <c r="J79" s="85" t="n"/>
      <c r="K79" s="110">
        <f>J79*H79</f>
        <v/>
      </c>
      <c r="L79" s="49">
        <f>F79+I79+K79</f>
        <v/>
      </c>
    </row>
    <row r="80" ht="15.15" customHeight="1" s="18">
      <c r="K80" s="112">
        <f>SUM(K75:K79)</f>
        <v/>
      </c>
      <c r="L80" s="51">
        <f>SUM(L75:L79)</f>
        <v/>
      </c>
    </row>
    <row r="82">
      <c r="A82" s="38" t="n">
        <v>10</v>
      </c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06" t="n"/>
      <c r="K82" s="106" t="n"/>
      <c r="L82" s="106" t="n"/>
    </row>
    <row r="83" ht="42.75" customHeight="1" s="18">
      <c r="A83" s="39" t="inlineStr">
        <is>
          <t>Наименование</t>
        </is>
      </c>
      <c r="B83" s="39" t="inlineStr">
        <is>
          <t>Примечание</t>
        </is>
      </c>
      <c r="C83" s="39" t="inlineStr">
        <is>
          <t>Материал</t>
        </is>
      </c>
      <c r="D83" s="39" t="inlineStr">
        <is>
          <t>Цена за лист/кг. для порошковой покраски</t>
        </is>
      </c>
      <c r="E83" s="39" t="inlineStr">
        <is>
          <t>Листов/ м.кв. для порошковой покраски</t>
        </is>
      </c>
      <c r="F83" s="13" t="inlineStr">
        <is>
          <t>Стоимость материалов</t>
        </is>
      </c>
      <c r="G83" s="13" t="inlineStr">
        <is>
          <t>Стоимость часа</t>
        </is>
      </c>
      <c r="H83" s="40" t="inlineStr">
        <is>
          <t>Часов</t>
        </is>
      </c>
      <c r="I83" s="13" t="inlineStr">
        <is>
          <t>Стоимость работ</t>
        </is>
      </c>
      <c r="J83" s="13" t="inlineStr">
        <is>
          <t>Прибыль с часа/м2</t>
        </is>
      </c>
      <c r="K83" s="107" t="inlineStr">
        <is>
          <t>Прибыль с работ</t>
        </is>
      </c>
      <c r="L83" s="13" t="inlineStr">
        <is>
          <t>Итого</t>
        </is>
      </c>
    </row>
    <row r="84">
      <c r="A84" s="39" t="inlineStr">
        <is>
          <t>Изделие 10</t>
        </is>
      </c>
      <c r="B84" s="39" t="n"/>
      <c r="C84" s="43" t="n"/>
      <c r="D84" s="13">
        <f>VLOOKUP(C84,'Цены на металл'!$A$3:$H$30,7,0)</f>
        <v/>
      </c>
      <c r="E84" s="39" t="n"/>
      <c r="F84" s="85">
        <f>D84*E84</f>
        <v/>
      </c>
      <c r="G84" s="45" t="n">
        <v>4800</v>
      </c>
      <c r="H84" s="40" t="n"/>
      <c r="I84" s="85">
        <f>H84*G84</f>
        <v/>
      </c>
      <c r="J84" s="85" t="n"/>
      <c r="K84" s="107">
        <f>H84*J84</f>
        <v/>
      </c>
      <c r="L84" s="85">
        <f>F84+I84+K84</f>
        <v/>
      </c>
    </row>
    <row r="85">
      <c r="A85" s="39" t="inlineStr">
        <is>
          <t>Гибка (84 гибов в час)</t>
        </is>
      </c>
      <c r="B85" s="39" t="n"/>
      <c r="C85" s="39" t="n"/>
      <c r="D85" s="39" t="n"/>
      <c r="E85" s="39" t="n"/>
      <c r="F85" s="85">
        <f>D85*E85</f>
        <v/>
      </c>
      <c r="G85" s="45" t="n">
        <v>2685</v>
      </c>
      <c r="H85" s="40" t="n"/>
      <c r="I85" s="85">
        <f>H85*G85</f>
        <v/>
      </c>
      <c r="J85" s="85" t="n"/>
      <c r="K85" s="107">
        <f>H85*J85</f>
        <v/>
      </c>
      <c r="L85" s="85">
        <f>F85+I85+K85</f>
        <v/>
      </c>
    </row>
    <row r="86">
      <c r="A86" s="39" t="inlineStr">
        <is>
          <t>Токарка</t>
        </is>
      </c>
      <c r="B86" s="39" t="n"/>
      <c r="C86" s="39" t="n"/>
      <c r="D86" s="39" t="n"/>
      <c r="E86" s="39" t="n"/>
      <c r="F86" s="85" t="n">
        <v>0</v>
      </c>
      <c r="G86" s="45" t="n">
        <v>4800</v>
      </c>
      <c r="H86" s="40" t="n"/>
      <c r="I86" s="85">
        <f>G86*H86</f>
        <v/>
      </c>
      <c r="J86" s="85" t="n"/>
      <c r="K86" s="107">
        <f>H86*J86</f>
        <v/>
      </c>
      <c r="L86" s="85">
        <f>F86+I86+K86</f>
        <v/>
      </c>
    </row>
    <row r="87">
      <c r="A87" s="39" t="inlineStr">
        <is>
          <t>Сварка</t>
        </is>
      </c>
      <c r="B87" s="39" t="n"/>
      <c r="C87" s="39" t="n"/>
      <c r="D87" s="39" t="n"/>
      <c r="E87" s="39" t="n"/>
      <c r="F87" s="85">
        <f>D87*E87</f>
        <v/>
      </c>
      <c r="G87" s="45" t="n">
        <v>1980</v>
      </c>
      <c r="H87" s="40" t="n"/>
      <c r="I87" s="85">
        <f>H87*G87</f>
        <v/>
      </c>
      <c r="J87" s="85" t="n"/>
      <c r="K87" s="107">
        <f>H87*J87</f>
        <v/>
      </c>
      <c r="L87" s="85">
        <f>F87+I87+K87</f>
        <v/>
      </c>
    </row>
    <row r="88" ht="29.55" customHeight="1" s="18">
      <c r="A88" s="39" t="inlineStr">
        <is>
          <t>Порошковая покраска 5,53 кв. м/час.</t>
        </is>
      </c>
      <c r="B88" s="39" t="inlineStr">
        <is>
          <t>Порошковая покраска</t>
        </is>
      </c>
      <c r="C88" s="39" t="n"/>
      <c r="D88" s="39">
        <f>VLOOKUP(B88,'Цены на металл'!$A$36:$B$39,2,0)</f>
        <v/>
      </c>
      <c r="E88" s="39" t="n"/>
      <c r="F88" s="85">
        <f>E88*0.3*D88</f>
        <v/>
      </c>
      <c r="G88" s="45" t="n">
        <v>2500</v>
      </c>
      <c r="H88" s="40" t="n"/>
      <c r="I88" s="85">
        <f>H88*G88</f>
        <v/>
      </c>
      <c r="J88" s="85" t="n"/>
      <c r="K88" s="110">
        <f>J88*H88</f>
        <v/>
      </c>
      <c r="L88" s="49">
        <f>F88+I88+K88</f>
        <v/>
      </c>
    </row>
    <row r="89" ht="15.15" customHeight="1" s="18">
      <c r="K89" s="112">
        <f>SUM(K84:K88)</f>
        <v/>
      </c>
      <c r="L89" s="51">
        <f>SUM(L84:L88)</f>
        <v/>
      </c>
    </row>
  </sheetData>
  <mergeCells count="19">
    <mergeCell ref="N11:O11"/>
    <mergeCell ref="N16:O16"/>
    <mergeCell ref="A46:L46"/>
    <mergeCell ref="A37:L37"/>
    <mergeCell ref="A55:L55"/>
    <mergeCell ref="R16:S16"/>
    <mergeCell ref="N2:O2"/>
    <mergeCell ref="A10:L10"/>
    <mergeCell ref="A19:L19"/>
    <mergeCell ref="P16:Q16"/>
    <mergeCell ref="A28:L28"/>
    <mergeCell ref="S3:S7"/>
    <mergeCell ref="S8:S10"/>
    <mergeCell ref="N3:N7"/>
    <mergeCell ref="A73:L73"/>
    <mergeCell ref="A64:L64"/>
    <mergeCell ref="A82:L82"/>
    <mergeCell ref="A1:L1"/>
    <mergeCell ref="N8:N10"/>
  </mergeCells>
  <dataValidations count="2">
    <dataValidation sqref="C3 C12 C21 C30 C39 C48 C57 C66 C75 C84" showDropDown="0" showInputMessage="1" showErrorMessage="1" allowBlank="1" type="list">
      <formula1>'Цены на металл'!$A$2:$A$30</formula1>
    </dataValidation>
    <dataValidation sqref="B7 B16 B25 B34 B43 B52 B61 B70 B79 B88" showDropDown="0" showInputMessage="1" showErrorMessage="1" allowBlank="1" type="list">
      <formula1>'Цены на металл'!$A$36:$A$39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167"/>
  <sheetViews>
    <sheetView tabSelected="1" workbookViewId="0">
      <selection activeCell="B4" sqref="B4:B29"/>
    </sheetView>
  </sheetViews>
  <sheetFormatPr baseColWidth="8" defaultColWidth="9" defaultRowHeight="14.4"/>
  <cols>
    <col width="29.8888888888889" customWidth="1" style="3" min="1" max="1"/>
    <col width="14.3333333333333" customWidth="1" style="4" min="2" max="2"/>
    <col width="9.444444444444439" customWidth="1" style="4" min="3" max="3"/>
    <col width="8.444444444444439" customWidth="1" style="4" min="4" max="4"/>
    <col width="10" customWidth="1" style="114" min="5" max="5"/>
    <col width="19.5555555555556" customWidth="1" style="4" min="6" max="6"/>
    <col width="10.5555555555556" customWidth="1" style="4" min="7" max="7"/>
    <col width="11.1111111111111" customWidth="1" style="6" min="8" max="8"/>
    <col width="10.5555555555556" customWidth="1" style="18" min="9" max="9"/>
    <col hidden="1" width="17.1111111111111" customWidth="1" style="18" min="10" max="10"/>
    <col width="9.888888888888889" customWidth="1" style="18" min="11" max="18"/>
    <col width="11" customWidth="1" style="18" min="19" max="20"/>
    <col width="8.888888888888889" customWidth="1" style="18" min="21" max="24"/>
    <col width="21.7777777777778" customWidth="1" style="18" min="25" max="25"/>
    <col width="8.888888888888889" customWidth="1" style="18" min="26" max="30"/>
  </cols>
  <sheetData>
    <row r="1" ht="15.15" customHeight="1" s="18"/>
    <row r="2" ht="46.5" customHeight="1" s="18">
      <c r="A2" s="7" t="inlineStr">
        <is>
          <t>Наименование</t>
        </is>
      </c>
      <c r="B2" s="8" t="inlineStr">
        <is>
          <t>Цена за тонну, р.</t>
        </is>
      </c>
      <c r="C2" s="8" t="inlineStr">
        <is>
          <t>Площадь листа, м2</t>
        </is>
      </c>
      <c r="D2" s="8" t="inlineStr">
        <is>
          <t>Вес 1м2, т</t>
        </is>
      </c>
      <c r="E2" s="115" t="inlineStr">
        <is>
          <t>Вес одного листа, т</t>
        </is>
      </c>
      <c r="F2" s="8" t="inlineStr">
        <is>
          <t>Резка листа под размер лазера, р.</t>
        </is>
      </c>
      <c r="G2" s="10" t="inlineStr">
        <is>
          <t>Итого за 1 лист, р.</t>
        </is>
      </c>
      <c r="H2" s="11" t="inlineStr">
        <is>
          <t>Стоимость 1м2, р</t>
        </is>
      </c>
      <c r="I2" s="12" t="inlineStr">
        <is>
          <t>Последние закупочные цены</t>
        </is>
      </c>
      <c r="J2" s="13" t="inlineStr">
        <is>
          <t>Расчетная себестоимость  1 метра прямого реза</t>
        </is>
      </c>
      <c r="K2" s="13" t="inlineStr">
        <is>
          <t>Цена  на последние числа декабря.</t>
        </is>
      </c>
      <c r="L2" s="116" t="n">
        <v>46239</v>
      </c>
      <c r="M2" s="55" t="n"/>
      <c r="N2" s="55" t="n"/>
      <c r="O2" s="55" t="n">
        <v>46252</v>
      </c>
      <c r="P2" s="55" t="n"/>
      <c r="Q2" s="55" t="n"/>
      <c r="R2" s="55" t="n"/>
      <c r="AB2" t="inlineStr">
        <is>
          <t>конец марта</t>
        </is>
      </c>
    </row>
    <row r="3" ht="23.25" customHeight="1" s="18">
      <c r="A3" s="16" t="inlineStr">
        <is>
          <t>-</t>
        </is>
      </c>
      <c r="H3" s="17" t="n"/>
      <c r="J3" s="2" t="n"/>
      <c r="K3" s="2" t="n"/>
      <c r="L3" t="inlineStr">
        <is>
          <t>окама</t>
        </is>
      </c>
      <c r="M3" t="inlineStr">
        <is>
          <t>Сталепром.</t>
        </is>
      </c>
      <c r="O3" t="inlineStr">
        <is>
          <t>Сталепром.</t>
        </is>
      </c>
      <c r="AB3" t="inlineStr">
        <is>
          <t>Металлинвест</t>
        </is>
      </c>
    </row>
    <row r="4">
      <c r="A4" s="19" t="inlineStr">
        <is>
          <t>0,5 мм Оц. Сталь (2500х1250)</t>
        </is>
      </c>
      <c r="B4" s="20" t="n">
        <v>98880</v>
      </c>
      <c r="C4" s="117" t="n">
        <v>3.125</v>
      </c>
      <c r="D4" s="117" t="n">
        <v>0.004025</v>
      </c>
      <c r="E4" s="118">
        <f>D4*C4</f>
        <v/>
      </c>
      <c r="F4" s="23" t="n"/>
      <c r="G4" s="24">
        <f>B4*E4+F4</f>
        <v/>
      </c>
      <c r="H4" s="25">
        <f>G4/C4</f>
        <v/>
      </c>
      <c r="I4" s="26" t="n">
        <v>106000</v>
      </c>
      <c r="J4" s="2" t="n"/>
      <c r="K4" s="27" t="n">
        <v>107800</v>
      </c>
      <c r="L4" s="119" t="n"/>
      <c r="M4" s="29" t="n"/>
      <c r="N4" s="29" t="n"/>
      <c r="O4" s="29" t="n">
        <v>96000</v>
      </c>
      <c r="P4" s="29">
        <f>O4*1.03</f>
        <v/>
      </c>
      <c r="Q4" s="29" t="n"/>
      <c r="R4" s="29" t="n"/>
    </row>
    <row r="5">
      <c r="A5" s="19" t="inlineStr">
        <is>
          <t>1,0 мм Оц. Сталь (2500х1250)</t>
        </is>
      </c>
      <c r="B5" s="30" t="n">
        <v>97000</v>
      </c>
      <c r="C5" s="117" t="n">
        <v>3.125</v>
      </c>
      <c r="D5" s="117">
        <f>E5/C5</f>
        <v/>
      </c>
      <c r="E5" s="118" t="n">
        <v>0.0245</v>
      </c>
      <c r="F5" s="23" t="n"/>
      <c r="G5" s="24">
        <f>B5*E5+F5</f>
        <v/>
      </c>
      <c r="H5" s="25">
        <f>G5/C5</f>
        <v/>
      </c>
      <c r="I5" s="26" t="n">
        <v>96000</v>
      </c>
      <c r="J5" s="2" t="n"/>
      <c r="K5" s="27" t="n"/>
      <c r="L5" s="29" t="n">
        <v>94900</v>
      </c>
      <c r="M5" s="29" t="n"/>
      <c r="N5" s="29" t="n"/>
      <c r="O5" s="29" t="n">
        <v>92500</v>
      </c>
      <c r="P5" s="29">
        <f>O5*1.03</f>
        <v/>
      </c>
      <c r="Q5" s="29" t="n"/>
      <c r="R5" s="29" t="n"/>
      <c r="S5" s="120" t="n">
        <v>46092</v>
      </c>
      <c r="AA5" t="n">
        <v>102000</v>
      </c>
      <c r="AB5" t="n">
        <v>96840</v>
      </c>
      <c r="AC5">
        <f>AB5*1.03</f>
        <v/>
      </c>
      <c r="AD5">
        <f>AB5*1.05</f>
        <v/>
      </c>
    </row>
    <row r="6">
      <c r="A6" s="19" t="inlineStr">
        <is>
          <t>1,2 мм Оц. Сталь (2500х1250)</t>
        </is>
      </c>
      <c r="B6" s="30" t="n">
        <v>97000</v>
      </c>
      <c r="C6" s="117" t="n">
        <v>3.125</v>
      </c>
      <c r="D6" s="117">
        <f>E6/C6</f>
        <v/>
      </c>
      <c r="E6" s="118" t="n">
        <v>0.03</v>
      </c>
      <c r="F6" s="23" t="n"/>
      <c r="G6" s="24">
        <f>B6*E6+F6</f>
        <v/>
      </c>
      <c r="H6" s="25">
        <f>G6/C6</f>
        <v/>
      </c>
      <c r="I6" s="26" t="n">
        <v>96000</v>
      </c>
      <c r="J6" s="2" t="n"/>
      <c r="K6" s="27" t="n"/>
      <c r="L6" s="27" t="n"/>
      <c r="M6" s="27" t="n"/>
      <c r="N6" s="27" t="n"/>
      <c r="O6" s="27" t="n">
        <v>90500</v>
      </c>
      <c r="P6" s="29">
        <f>O6*1.03</f>
        <v/>
      </c>
      <c r="Q6" s="29" t="n"/>
      <c r="R6" s="27" t="n"/>
      <c r="S6" s="2" t="inlineStr">
        <is>
          <t>Март</t>
        </is>
      </c>
      <c r="T6" s="1" t="inlineStr">
        <is>
          <t>Фераль</t>
        </is>
      </c>
      <c r="U6" s="121" t="n"/>
      <c r="V6" s="121" t="n"/>
      <c r="W6" s="108" t="n"/>
      <c r="AB6" t="n">
        <v>96500</v>
      </c>
      <c r="AC6">
        <f>AB6*1.03</f>
        <v/>
      </c>
      <c r="AD6">
        <f>AB6*1.05</f>
        <v/>
      </c>
    </row>
    <row r="7">
      <c r="A7" s="19" t="inlineStr">
        <is>
          <t>1,5 мм Оц. Сталь (2500х1250)</t>
        </is>
      </c>
      <c r="B7" s="30" t="n">
        <v>97000</v>
      </c>
      <c r="C7" s="117" t="n">
        <v>3.125</v>
      </c>
      <c r="D7" s="117">
        <f>E7/C7</f>
        <v/>
      </c>
      <c r="E7" s="118" t="n">
        <v>0.0368</v>
      </c>
      <c r="F7" s="23" t="n"/>
      <c r="G7" s="24">
        <f>B7*E7+F7</f>
        <v/>
      </c>
      <c r="H7" s="25">
        <f>G7/C7</f>
        <v/>
      </c>
      <c r="I7" s="26" t="n">
        <v>96000</v>
      </c>
      <c r="J7" s="2" t="n"/>
      <c r="K7" s="27" t="n"/>
      <c r="L7" s="27" t="n"/>
      <c r="M7" s="27" t="n"/>
      <c r="N7" s="27" t="n"/>
      <c r="O7" s="27" t="n">
        <v>90500</v>
      </c>
      <c r="P7" s="29">
        <f>O7*1.03</f>
        <v/>
      </c>
      <c r="Q7" s="29" t="n"/>
      <c r="R7" s="27" t="n"/>
      <c r="S7" s="2" t="inlineStr">
        <is>
          <t>Сталепром</t>
        </is>
      </c>
      <c r="T7" s="2" t="inlineStr">
        <is>
          <t>Окама</t>
        </is>
      </c>
      <c r="U7" s="2" t="inlineStr">
        <is>
          <t>металинвест</t>
        </is>
      </c>
      <c r="V7" s="2" t="inlineStr">
        <is>
          <t>Окама</t>
        </is>
      </c>
      <c r="W7" s="2" t="inlineStr">
        <is>
          <t>Окама</t>
        </is>
      </c>
      <c r="X7" s="2" t="inlineStr">
        <is>
          <t>Среднее</t>
        </is>
      </c>
      <c r="Y7" s="2" t="n"/>
      <c r="Z7" s="2" t="n"/>
      <c r="AB7" t="n">
        <v>96500</v>
      </c>
      <c r="AC7">
        <f>AB7*1.03</f>
        <v/>
      </c>
      <c r="AD7">
        <f>AB7*1.05</f>
        <v/>
      </c>
    </row>
    <row r="8">
      <c r="A8" s="19" t="inlineStr">
        <is>
          <t>2,0 мм Оц. Сталь (2500х1250)</t>
        </is>
      </c>
      <c r="B8" s="30" t="n">
        <v>97000</v>
      </c>
      <c r="C8" s="117" t="n">
        <v>3.125</v>
      </c>
      <c r="D8" s="117">
        <f>E8/C8</f>
        <v/>
      </c>
      <c r="E8" s="118" t="n">
        <v>0.0491</v>
      </c>
      <c r="F8" s="23" t="n"/>
      <c r="G8" s="24">
        <f>B8*E8+F8</f>
        <v/>
      </c>
      <c r="H8" s="25">
        <f>G8/C8</f>
        <v/>
      </c>
      <c r="I8" s="26" t="n">
        <v>96000</v>
      </c>
      <c r="J8" s="2" t="n"/>
      <c r="K8" s="27" t="n">
        <v>97300</v>
      </c>
      <c r="L8" s="27" t="n">
        <v>92500</v>
      </c>
      <c r="M8" s="27" t="n"/>
      <c r="N8" s="27" t="n">
        <v>89000</v>
      </c>
      <c r="O8" s="27" t="n">
        <v>89000</v>
      </c>
      <c r="P8" s="29">
        <f>O8*1.03</f>
        <v/>
      </c>
      <c r="Q8" s="29">
        <f>L8*1.03</f>
        <v/>
      </c>
      <c r="R8" s="27" t="n"/>
      <c r="S8" s="2" t="n">
        <v>91600</v>
      </c>
      <c r="T8" s="2" t="n">
        <v>98712.64</v>
      </c>
      <c r="U8" s="2" t="n">
        <v>97900</v>
      </c>
      <c r="V8" s="2" t="n"/>
      <c r="W8" s="2">
        <f>79210*1.22</f>
        <v/>
      </c>
      <c r="X8" s="2">
        <f>AVERAGE(T8:W8)</f>
        <v/>
      </c>
      <c r="Y8" s="32">
        <f>X8/B8-1</f>
        <v/>
      </c>
      <c r="Z8" s="32">
        <f>S8/T8-1</f>
        <v/>
      </c>
      <c r="AB8" t="n">
        <v>95500</v>
      </c>
      <c r="AC8">
        <f>AB8*1.03</f>
        <v/>
      </c>
      <c r="AD8">
        <f>AB8*1.05</f>
        <v/>
      </c>
    </row>
    <row r="9">
      <c r="A9" s="19" t="inlineStr">
        <is>
          <t>3,0 мм Оц. Сталь (2500х1250)</t>
        </is>
      </c>
      <c r="B9" s="30" t="n">
        <v>97000</v>
      </c>
      <c r="C9" s="117" t="n">
        <v>3.125</v>
      </c>
      <c r="D9" s="117">
        <f>E9/C9</f>
        <v/>
      </c>
      <c r="E9" s="118" t="n">
        <v>0.0736</v>
      </c>
      <c r="F9" s="23" t="n"/>
      <c r="G9" s="24">
        <f>B9*E9+F9</f>
        <v/>
      </c>
      <c r="H9" s="25">
        <f>G9/C9</f>
        <v/>
      </c>
      <c r="I9" s="26" t="n">
        <v>96000</v>
      </c>
      <c r="J9" s="2" t="n"/>
      <c r="K9" s="27" t="n"/>
      <c r="L9" s="27" t="n"/>
      <c r="M9" s="27" t="n"/>
      <c r="N9" s="27" t="n">
        <v>88000</v>
      </c>
      <c r="O9" s="27" t="n">
        <v>88000</v>
      </c>
      <c r="P9" s="29">
        <f>O9*1.03</f>
        <v/>
      </c>
      <c r="Q9" s="29" t="n"/>
      <c r="R9" s="27" t="n"/>
      <c r="S9" s="2" t="n"/>
      <c r="T9" s="2" t="n"/>
      <c r="U9" s="2" t="n"/>
      <c r="V9" s="2" t="n"/>
      <c r="W9" s="2" t="n"/>
      <c r="X9" s="2" t="n"/>
      <c r="Y9" s="32" t="n"/>
      <c r="Z9" s="32" t="n"/>
      <c r="AB9" t="n">
        <v>95500</v>
      </c>
      <c r="AC9">
        <f>AB9*1.03</f>
        <v/>
      </c>
      <c r="AD9">
        <f>AB9*1.05</f>
        <v/>
      </c>
    </row>
    <row r="10">
      <c r="A10" s="19" t="inlineStr">
        <is>
          <t>0,7 мм Х.к. Сталь (2500х1250)</t>
        </is>
      </c>
      <c r="B10" s="30" t="n">
        <v>80000</v>
      </c>
      <c r="C10" s="117" t="n">
        <v>3.125</v>
      </c>
      <c r="D10" s="117">
        <f>E10/C10</f>
        <v/>
      </c>
      <c r="E10" s="118" t="n">
        <v>0.0175</v>
      </c>
      <c r="F10" s="23" t="n"/>
      <c r="G10" s="24">
        <f>B10*E10+F10</f>
        <v/>
      </c>
      <c r="H10" s="25">
        <f>G10/C10</f>
        <v/>
      </c>
      <c r="I10" s="26" t="n">
        <v>81996</v>
      </c>
      <c r="J10" s="2" t="n"/>
      <c r="K10" s="27" t="n"/>
      <c r="L10" s="27" t="n"/>
      <c r="M10" s="27" t="n"/>
      <c r="N10" s="27" t="n"/>
      <c r="O10" s="27" t="n">
        <v>69700</v>
      </c>
      <c r="P10" s="29">
        <f>O10*1.03</f>
        <v/>
      </c>
      <c r="Q10" s="29" t="n"/>
      <c r="R10" s="27" t="n"/>
      <c r="S10" s="2" t="n"/>
      <c r="T10" s="2" t="n"/>
      <c r="U10" s="2" t="n"/>
      <c r="V10" s="2" t="n"/>
      <c r="W10" s="2" t="n"/>
      <c r="X10" s="2" t="n"/>
      <c r="Y10" s="32" t="n"/>
      <c r="Z10" s="32" t="n"/>
      <c r="AB10" t="n">
        <v>77500</v>
      </c>
      <c r="AC10">
        <f>AB10*1.03</f>
        <v/>
      </c>
      <c r="AD10">
        <f>AB10*1.05</f>
        <v/>
      </c>
    </row>
    <row r="11">
      <c r="A11" s="19" t="inlineStr">
        <is>
          <t>1,0 мм Х.к. Сталь (2500х1250)</t>
        </is>
      </c>
      <c r="B11" s="30" t="n">
        <v>80000</v>
      </c>
      <c r="C11" s="117" t="n">
        <v>3.125</v>
      </c>
      <c r="D11" s="117">
        <f>E11/C11</f>
        <v/>
      </c>
      <c r="E11" s="118" t="n">
        <v>0.0245</v>
      </c>
      <c r="F11" s="23" t="n"/>
      <c r="G11" s="24">
        <f>B11*E11+F11</f>
        <v/>
      </c>
      <c r="H11" s="25">
        <f>G11/C11</f>
        <v/>
      </c>
      <c r="I11" s="26" t="n">
        <v>81996</v>
      </c>
      <c r="J11" s="2" t="n"/>
      <c r="K11" s="27" t="n"/>
      <c r="L11" s="27" t="n"/>
      <c r="M11" s="27" t="n">
        <v>70500</v>
      </c>
      <c r="N11" s="27" t="n"/>
      <c r="O11" s="27" t="n">
        <v>69700</v>
      </c>
      <c r="P11" s="29">
        <f>O11*1.03</f>
        <v/>
      </c>
      <c r="Q11" s="29" t="n"/>
      <c r="R11" s="27" t="n"/>
      <c r="S11" s="2" t="n">
        <v>74000</v>
      </c>
      <c r="T11" s="2" t="n">
        <v>83712.74000000001</v>
      </c>
      <c r="U11" s="2" t="n">
        <v>78898</v>
      </c>
      <c r="V11" s="2">
        <f>68396*1.22</f>
        <v/>
      </c>
      <c r="W11" s="2">
        <f>67735*1.22</f>
        <v/>
      </c>
      <c r="X11" s="2">
        <f>AVERAGE(T11:W11)</f>
        <v/>
      </c>
      <c r="Y11" s="32">
        <f>X11/B11-1</f>
        <v/>
      </c>
      <c r="Z11" s="32">
        <f>S11/T11-1</f>
        <v/>
      </c>
      <c r="AB11" t="n">
        <v>77500</v>
      </c>
      <c r="AC11">
        <f>AB11*1.03</f>
        <v/>
      </c>
      <c r="AD11">
        <f>AB11*1.05</f>
        <v/>
      </c>
    </row>
    <row r="12">
      <c r="A12" s="19" t="inlineStr">
        <is>
          <t>1,2 мм Х.к. Сталь (2500х1250)</t>
        </is>
      </c>
      <c r="B12" s="30" t="n">
        <v>80000</v>
      </c>
      <c r="C12" s="117" t="n">
        <v>3.125</v>
      </c>
      <c r="D12" s="117">
        <f>E12/C12</f>
        <v/>
      </c>
      <c r="E12" s="118" t="n">
        <v>0.03</v>
      </c>
      <c r="F12" s="23" t="n"/>
      <c r="G12" s="24">
        <f>B12*E12+F12</f>
        <v/>
      </c>
      <c r="H12" s="25">
        <f>G12/C12</f>
        <v/>
      </c>
      <c r="I12" s="26" t="n">
        <v>81996</v>
      </c>
      <c r="J12" s="2" t="n"/>
      <c r="K12" s="27" t="n"/>
      <c r="L12" s="27" t="n"/>
      <c r="M12" s="27" t="n"/>
      <c r="N12" s="27" t="n"/>
      <c r="O12" s="27" t="n">
        <v>69700</v>
      </c>
      <c r="P12" s="29">
        <f>O12*1.03</f>
        <v/>
      </c>
      <c r="Q12" s="29" t="n"/>
      <c r="R12" s="27" t="n"/>
      <c r="S12" s="2" t="n">
        <v>74000</v>
      </c>
      <c r="T12" s="2" t="n">
        <v>83712.74000000001</v>
      </c>
      <c r="U12" s="2" t="n">
        <v>78899</v>
      </c>
      <c r="V12" s="2">
        <f>68396*1.22</f>
        <v/>
      </c>
      <c r="W12" s="2">
        <f>67735*1.22</f>
        <v/>
      </c>
      <c r="X12" s="2">
        <f>AVERAGE(T12:W12)</f>
        <v/>
      </c>
      <c r="Y12" s="32">
        <f>X12/B12-1</f>
        <v/>
      </c>
      <c r="Z12" s="32">
        <f>S12/T12-1</f>
        <v/>
      </c>
      <c r="AB12" t="n">
        <v>77500</v>
      </c>
      <c r="AC12">
        <f>AB12*1.03</f>
        <v/>
      </c>
      <c r="AD12">
        <f>AB12*1.05</f>
        <v/>
      </c>
    </row>
    <row r="13">
      <c r="A13" s="19" t="inlineStr">
        <is>
          <t>1,5 мм Х.к. Сталь (2500х1250)</t>
        </is>
      </c>
      <c r="B13" s="30" t="n">
        <v>80000</v>
      </c>
      <c r="C13" s="117" t="n">
        <v>3.125</v>
      </c>
      <c r="D13" s="117">
        <f>E13/C13</f>
        <v/>
      </c>
      <c r="E13" s="118" t="n">
        <v>0.0368</v>
      </c>
      <c r="F13" s="23" t="n"/>
      <c r="G13" s="24">
        <f>B13*E13+F13</f>
        <v/>
      </c>
      <c r="H13" s="25">
        <f>G13/C13</f>
        <v/>
      </c>
      <c r="I13" s="26" t="n">
        <v>81996</v>
      </c>
      <c r="J13" s="2" t="n"/>
      <c r="K13" s="27" t="n">
        <v>83300</v>
      </c>
      <c r="L13" s="27" t="n">
        <v>78000</v>
      </c>
      <c r="M13" s="27" t="n"/>
      <c r="N13" s="27" t="n"/>
      <c r="O13" s="27" t="n">
        <v>69700</v>
      </c>
      <c r="P13" s="29">
        <f>O13*1.03</f>
        <v/>
      </c>
      <c r="Q13" s="29" t="n"/>
      <c r="R13" s="27" t="n"/>
      <c r="S13" s="2" t="n">
        <v>74000</v>
      </c>
      <c r="T13" s="2" t="n">
        <v>83712.74000000001</v>
      </c>
      <c r="U13" s="2" t="n">
        <v>78900</v>
      </c>
      <c r="V13" s="2">
        <f>68396*1.22</f>
        <v/>
      </c>
      <c r="W13" s="2">
        <f>67735*1.22</f>
        <v/>
      </c>
      <c r="X13" s="2">
        <f>AVERAGE(T13:W13)</f>
        <v/>
      </c>
      <c r="Y13" s="32" t="inlineStr">
        <is>
          <t>%</t>
        </is>
      </c>
      <c r="Z13" s="32">
        <f>S13/T13-1</f>
        <v/>
      </c>
      <c r="AA13" t="n">
        <v>82500</v>
      </c>
      <c r="AB13" t="n">
        <v>77500</v>
      </c>
      <c r="AC13">
        <f>AB13*1.03</f>
        <v/>
      </c>
      <c r="AD13">
        <f>AB13*1.05</f>
        <v/>
      </c>
    </row>
    <row r="14">
      <c r="A14" s="19" t="inlineStr">
        <is>
          <t>2,0 мм Х.к. Сталь (2500х1250)</t>
        </is>
      </c>
      <c r="B14" s="30" t="n">
        <v>80000</v>
      </c>
      <c r="C14" s="117" t="n">
        <v>3.125</v>
      </c>
      <c r="D14" s="117">
        <f>E14/C14</f>
        <v/>
      </c>
      <c r="E14" s="118" t="n">
        <v>0.0491</v>
      </c>
      <c r="F14" s="23" t="n"/>
      <c r="G14" s="24">
        <f>B14*E14+F14</f>
        <v/>
      </c>
      <c r="H14" s="25">
        <f>G14/C14</f>
        <v/>
      </c>
      <c r="I14" s="26" t="n">
        <v>81996</v>
      </c>
      <c r="J14" s="2" t="n"/>
      <c r="K14" s="27" t="n">
        <v>82720</v>
      </c>
      <c r="L14" s="27" t="n">
        <v>78000</v>
      </c>
      <c r="M14" s="27" t="n"/>
      <c r="N14" s="27" t="n">
        <v>75180</v>
      </c>
      <c r="O14" s="27" t="n">
        <v>69700</v>
      </c>
      <c r="P14" s="29">
        <f>O14*1.03</f>
        <v/>
      </c>
      <c r="Q14" s="29" t="n"/>
      <c r="R14" s="27" t="n"/>
      <c r="S14" s="2" t="n">
        <v>73800</v>
      </c>
      <c r="T14" s="2" t="n">
        <v>83712.74000000001</v>
      </c>
      <c r="U14" s="2" t="n">
        <v>78900</v>
      </c>
      <c r="V14" s="2">
        <f>68396*1.22</f>
        <v/>
      </c>
      <c r="W14" s="2">
        <f>67735*1.22</f>
        <v/>
      </c>
      <c r="X14" s="2">
        <f>AVERAGE(T14:W14)</f>
        <v/>
      </c>
      <c r="Y14" s="32">
        <f>X14/B14-1</f>
        <v/>
      </c>
      <c r="Z14" s="32">
        <f>S14/T14-1</f>
        <v/>
      </c>
      <c r="AA14" t="n">
        <v>82500</v>
      </c>
      <c r="AB14" t="n">
        <v>77500</v>
      </c>
      <c r="AC14">
        <f>AB14*1.03</f>
        <v/>
      </c>
      <c r="AD14">
        <f>AB14*1.05</f>
        <v/>
      </c>
    </row>
    <row r="15">
      <c r="A15" s="19" t="inlineStr">
        <is>
          <t>3,0 мм Х.к. Сталь (2500х1250)</t>
        </is>
      </c>
      <c r="B15" s="30" t="n">
        <v>80000</v>
      </c>
      <c r="C15" s="117" t="n">
        <v>3.125</v>
      </c>
      <c r="D15" s="117">
        <f>E15/C15</f>
        <v/>
      </c>
      <c r="E15" s="118" t="n">
        <v>0.0736</v>
      </c>
      <c r="F15" s="23" t="n"/>
      <c r="G15" s="24">
        <f>B15*E15+F15</f>
        <v/>
      </c>
      <c r="H15" s="25">
        <f>G15/C15</f>
        <v/>
      </c>
      <c r="I15" s="26" t="n">
        <v>81996</v>
      </c>
      <c r="J15" s="2" t="n"/>
      <c r="K15" s="27" t="n"/>
      <c r="L15" s="27" t="n"/>
      <c r="M15" s="27" t="n"/>
      <c r="N15" s="27" t="n"/>
      <c r="O15" s="27" t="n">
        <v>69700</v>
      </c>
      <c r="P15" s="29">
        <f>O15*1.03</f>
        <v/>
      </c>
      <c r="Q15" s="29" t="n"/>
      <c r="R15" s="27">
        <f>M15*1.03</f>
        <v/>
      </c>
      <c r="S15" s="2" t="n"/>
      <c r="T15" s="2" t="n"/>
      <c r="U15" s="2" t="n"/>
      <c r="V15" s="2" t="n"/>
      <c r="W15" s="2" t="n"/>
      <c r="X15" s="2" t="n"/>
      <c r="Y15" s="32" t="n"/>
      <c r="Z15" s="32" t="n"/>
      <c r="AB15" t="n">
        <v>77500</v>
      </c>
      <c r="AC15">
        <f>AB15*1.03</f>
        <v/>
      </c>
      <c r="AD15">
        <f>AB15*1.05</f>
        <v/>
      </c>
    </row>
    <row r="16">
      <c r="A16" s="19" t="inlineStr">
        <is>
          <t>1,0 мм Ст3 (2500х1250)</t>
        </is>
      </c>
      <c r="B16" s="30" t="n">
        <v>0</v>
      </c>
      <c r="C16" s="117" t="n">
        <v>3.125</v>
      </c>
      <c r="D16" s="117">
        <f>E16/C16</f>
        <v/>
      </c>
      <c r="E16" s="118" t="n">
        <v>0.0245</v>
      </c>
      <c r="F16" s="23" t="n"/>
      <c r="G16" s="24">
        <f>B16*E16+F16</f>
        <v/>
      </c>
      <c r="H16" s="25">
        <f>G16/C16</f>
        <v/>
      </c>
      <c r="I16" s="26" t="n">
        <v>61000</v>
      </c>
      <c r="J16" s="2" t="n">
        <v>11</v>
      </c>
      <c r="K16" s="27" t="n"/>
      <c r="L16" s="27" t="n"/>
      <c r="M16" s="27" t="n"/>
      <c r="N16" s="27" t="n"/>
      <c r="O16" s="27" t="n"/>
      <c r="P16" s="29">
        <f>O16*1.03</f>
        <v/>
      </c>
      <c r="Q16" s="29" t="n"/>
      <c r="R16" s="27">
        <f>M16*1.03</f>
        <v/>
      </c>
      <c r="S16" s="2" t="n"/>
      <c r="T16" s="2" t="n"/>
      <c r="U16" s="2" t="n"/>
      <c r="V16" s="2" t="n"/>
      <c r="W16" s="2" t="n"/>
      <c r="X16" s="2" t="n"/>
      <c r="Y16" s="32" t="n"/>
      <c r="Z16" s="32" t="n"/>
      <c r="AB16" t="n">
        <v>61000</v>
      </c>
      <c r="AC16">
        <f>AB16*1.03</f>
        <v/>
      </c>
      <c r="AD16">
        <f>AB16*1.05</f>
        <v/>
      </c>
    </row>
    <row r="17">
      <c r="A17" s="19" t="inlineStr">
        <is>
          <t>1,5 мм Ст3 (2500х1250)</t>
        </is>
      </c>
      <c r="B17" s="30" t="n">
        <v>0</v>
      </c>
      <c r="C17" s="117" t="n">
        <v>3.125</v>
      </c>
      <c r="D17" s="117">
        <f>E17/C17</f>
        <v/>
      </c>
      <c r="E17" s="118" t="n">
        <v>0.0368</v>
      </c>
      <c r="F17" s="23" t="n"/>
      <c r="G17" s="24">
        <f>B17*E17+F17</f>
        <v/>
      </c>
      <c r="H17" s="25">
        <f>G17/C17</f>
        <v/>
      </c>
      <c r="I17" s="26" t="n">
        <v>61000</v>
      </c>
      <c r="J17" s="2" t="n">
        <v>16</v>
      </c>
      <c r="K17" s="27" t="n"/>
      <c r="L17" s="27" t="n"/>
      <c r="M17" s="27" t="n"/>
      <c r="N17" s="27" t="n"/>
      <c r="O17" s="27" t="n"/>
      <c r="P17" s="29">
        <f>O17*1.03</f>
        <v/>
      </c>
      <c r="Q17" s="29" t="n"/>
      <c r="R17" s="27">
        <f>M17*1.03</f>
        <v/>
      </c>
      <c r="S17" s="2" t="n"/>
      <c r="T17" s="2" t="n"/>
      <c r="U17" s="2" t="n"/>
      <c r="V17" s="2" t="n"/>
      <c r="W17" s="2" t="n"/>
      <c r="X17" s="2" t="n"/>
      <c r="Y17" s="32" t="n"/>
      <c r="Z17" s="32" t="n"/>
      <c r="AB17" t="n">
        <v>61000</v>
      </c>
      <c r="AC17">
        <f>AB17*1.03</f>
        <v/>
      </c>
      <c r="AD17">
        <f>AB17*1.05</f>
        <v/>
      </c>
    </row>
    <row r="18">
      <c r="A18" s="19" t="inlineStr">
        <is>
          <t>2,0 мм Ст3 (2500х1250)</t>
        </is>
      </c>
      <c r="B18" s="30" t="n">
        <v>0</v>
      </c>
      <c r="C18" s="117" t="n">
        <v>3.125</v>
      </c>
      <c r="D18" s="117">
        <f>E18/C18</f>
        <v/>
      </c>
      <c r="E18" s="118" t="n">
        <v>0.0491</v>
      </c>
      <c r="F18" s="23" t="n"/>
      <c r="G18" s="24">
        <f>B18*E18+F18</f>
        <v/>
      </c>
      <c r="H18" s="25">
        <f>G18/C18</f>
        <v/>
      </c>
      <c r="I18" s="26" t="n">
        <v>61000</v>
      </c>
      <c r="J18" s="2" t="n">
        <v>20.5</v>
      </c>
      <c r="K18" s="27" t="n"/>
      <c r="L18" s="27" t="n"/>
      <c r="M18" s="27" t="n"/>
      <c r="N18" s="27" t="n"/>
      <c r="O18" s="27" t="n"/>
      <c r="P18" s="29">
        <f>O18*1.03</f>
        <v/>
      </c>
      <c r="Q18" s="29" t="n"/>
      <c r="R18" s="27">
        <f>M18*1.03</f>
        <v/>
      </c>
      <c r="S18" s="2" t="n"/>
      <c r="T18" s="2" t="n"/>
      <c r="U18" s="2" t="n"/>
      <c r="V18" s="2" t="n"/>
      <c r="W18" s="2" t="n"/>
      <c r="X18" s="2" t="n"/>
      <c r="Y18" s="32" t="n"/>
      <c r="Z18" s="32" t="n"/>
      <c r="AB18" t="n">
        <v>61000</v>
      </c>
      <c r="AC18">
        <f>AB18*1.03</f>
        <v/>
      </c>
      <c r="AD18">
        <f>AB18*1.05</f>
        <v/>
      </c>
    </row>
    <row r="19">
      <c r="A19" s="19" t="inlineStr">
        <is>
          <t>3,0 мм Ст3 (3000х1500)</t>
        </is>
      </c>
      <c r="B19" s="30" t="n">
        <v>73000</v>
      </c>
      <c r="C19" s="117" t="n">
        <v>4.5</v>
      </c>
      <c r="D19" s="117">
        <f>E19/C19</f>
        <v/>
      </c>
      <c r="E19" s="118" t="n">
        <v>0.108</v>
      </c>
      <c r="F19" s="23" t="n">
        <v>60</v>
      </c>
      <c r="G19" s="24">
        <f>B19*E19+F19</f>
        <v/>
      </c>
      <c r="H19" s="25">
        <f>G19/C19</f>
        <v/>
      </c>
      <c r="I19" s="26" t="n">
        <v>60500</v>
      </c>
      <c r="J19" s="2" t="n">
        <v>32</v>
      </c>
      <c r="K19" s="27" t="n"/>
      <c r="L19" s="27" t="n"/>
      <c r="M19" s="27" t="n">
        <v>67300</v>
      </c>
      <c r="N19" s="27" t="n"/>
      <c r="O19" s="27" t="n">
        <v>66300</v>
      </c>
      <c r="P19" s="29">
        <f>O19*1.03</f>
        <v/>
      </c>
      <c r="Q19" s="29" t="n"/>
      <c r="R19" s="27">
        <f>M19*1.03</f>
        <v/>
      </c>
      <c r="S19" s="2" t="n">
        <v>57200</v>
      </c>
      <c r="T19" s="2" t="n">
        <v>62212.68</v>
      </c>
      <c r="U19" s="2">
        <f>49100*1.22</f>
        <v/>
      </c>
      <c r="V19" s="2">
        <f>50773*1.22</f>
        <v/>
      </c>
      <c r="W19" s="2">
        <f>50112*1.22</f>
        <v/>
      </c>
      <c r="X19" s="2">
        <f>AVERAGE(T19:W19)</f>
        <v/>
      </c>
      <c r="Y19" s="32">
        <f>X19/B19-1</f>
        <v/>
      </c>
      <c r="Z19" s="32">
        <f>S19/T19-1</f>
        <v/>
      </c>
      <c r="AA19" t="n">
        <v>60000</v>
      </c>
      <c r="AB19" t="n">
        <v>59500</v>
      </c>
      <c r="AC19">
        <f>AB19*1.03</f>
        <v/>
      </c>
      <c r="AD19">
        <f>AB19*1.05</f>
        <v/>
      </c>
    </row>
    <row r="20">
      <c r="A20" s="19" t="inlineStr">
        <is>
          <t>4,0 мм Ст3 (3000х1500)</t>
        </is>
      </c>
      <c r="B20" s="30" t="n">
        <v>73000</v>
      </c>
      <c r="C20" s="117" t="n">
        <v>4.5</v>
      </c>
      <c r="D20" s="117">
        <f>E20/C20</f>
        <v/>
      </c>
      <c r="E20" s="118" t="n">
        <v>0.1413</v>
      </c>
      <c r="F20" s="23" t="n">
        <v>120</v>
      </c>
      <c r="G20" s="24">
        <f>B20*E20+F20</f>
        <v/>
      </c>
      <c r="H20" s="25">
        <f>G20/C20</f>
        <v/>
      </c>
      <c r="I20" s="26" t="n">
        <v>60500</v>
      </c>
      <c r="J20" s="2" t="n">
        <v>43</v>
      </c>
      <c r="K20" s="27" t="n">
        <v>61220</v>
      </c>
      <c r="L20" s="27" t="n">
        <v>83500</v>
      </c>
      <c r="M20" s="27" t="n"/>
      <c r="N20" s="27" t="n">
        <v>66900</v>
      </c>
      <c r="O20" s="27" t="n">
        <v>66300</v>
      </c>
      <c r="P20" s="29">
        <f>O20*1.03</f>
        <v/>
      </c>
      <c r="Q20" s="29" t="n"/>
      <c r="R20" s="27">
        <f>M20*1.03</f>
        <v/>
      </c>
      <c r="S20" s="2" t="n">
        <v>55300</v>
      </c>
      <c r="T20" s="2" t="n">
        <v>62212.68</v>
      </c>
      <c r="U20" s="2">
        <f>49100*1.22</f>
        <v/>
      </c>
      <c r="V20" s="2">
        <f>50773*1.22</f>
        <v/>
      </c>
      <c r="W20" s="2">
        <f>50112*1.22</f>
        <v/>
      </c>
      <c r="X20" s="2">
        <f>AVERAGE(T20:W20)</f>
        <v/>
      </c>
      <c r="Y20" s="32">
        <f>X20/B20-1</f>
        <v/>
      </c>
      <c r="Z20" s="32">
        <f>S20/T20-1</f>
        <v/>
      </c>
      <c r="AA20" t="n">
        <v>60000</v>
      </c>
      <c r="AB20" t="n">
        <v>58300</v>
      </c>
      <c r="AC20">
        <f>AB20*1.03</f>
        <v/>
      </c>
      <c r="AD20">
        <f>AB20*1.05</f>
        <v/>
      </c>
    </row>
    <row r="21">
      <c r="A21" s="19" t="inlineStr">
        <is>
          <t>5,0 мм Ст3 (3000х1500)</t>
        </is>
      </c>
      <c r="B21" s="30" t="n">
        <v>73000</v>
      </c>
      <c r="C21" s="117" t="n">
        <v>4.5</v>
      </c>
      <c r="D21" s="117">
        <f>E21/C21</f>
        <v/>
      </c>
      <c r="E21" s="118" t="n">
        <v>0.1766</v>
      </c>
      <c r="F21" s="23" t="n">
        <v>180</v>
      </c>
      <c r="G21" s="24">
        <f>B21*E21+F21</f>
        <v/>
      </c>
      <c r="H21" s="25">
        <f>G21/C21</f>
        <v/>
      </c>
      <c r="I21" s="26" t="n">
        <v>60500</v>
      </c>
      <c r="J21" s="2" t="n">
        <v>53.5</v>
      </c>
      <c r="K21" s="27" t="n">
        <v>61220</v>
      </c>
      <c r="L21" s="27" t="n">
        <v>72500</v>
      </c>
      <c r="M21" s="27" t="n"/>
      <c r="N21" s="27" t="n">
        <v>67970</v>
      </c>
      <c r="O21" s="27" t="n">
        <v>66300</v>
      </c>
      <c r="P21" s="29">
        <f>O21*1.03</f>
        <v/>
      </c>
      <c r="Q21" s="29" t="n"/>
      <c r="R21" s="27">
        <f>M21*1.03</f>
        <v/>
      </c>
      <c r="S21" s="2" t="n">
        <v>55300</v>
      </c>
      <c r="T21" s="2" t="n">
        <v>62212.68</v>
      </c>
      <c r="U21" s="2">
        <f>49590*1.22</f>
        <v/>
      </c>
      <c r="V21" s="2">
        <f>50773*1.22</f>
        <v/>
      </c>
      <c r="W21" s="2">
        <f>50112*1.22</f>
        <v/>
      </c>
      <c r="X21" s="2">
        <f>AVERAGE(T21:W21)</f>
        <v/>
      </c>
      <c r="Y21" s="32">
        <f>X21/B21-1</f>
        <v/>
      </c>
      <c r="Z21" s="32">
        <f>S21/T21-1</f>
        <v/>
      </c>
      <c r="AA21" t="n">
        <v>60000</v>
      </c>
      <c r="AB21" t="n">
        <v>58300</v>
      </c>
      <c r="AC21">
        <f>AB21*1.03</f>
        <v/>
      </c>
      <c r="AD21">
        <f>AB21*1.05</f>
        <v/>
      </c>
    </row>
    <row r="22">
      <c r="A22" s="19" t="inlineStr">
        <is>
          <t>6,0 мм Ст3 (3000х1500)</t>
        </is>
      </c>
      <c r="B22" s="30" t="n">
        <v>73000</v>
      </c>
      <c r="C22" s="117" t="n">
        <v>4.5</v>
      </c>
      <c r="D22" s="117">
        <f>E22/C22</f>
        <v/>
      </c>
      <c r="E22" s="118" t="n">
        <v>0.212</v>
      </c>
      <c r="F22" s="23" t="n">
        <v>180</v>
      </c>
      <c r="G22" s="24">
        <f>B22*E22+F22</f>
        <v/>
      </c>
      <c r="H22" s="25">
        <f>G22/C22</f>
        <v/>
      </c>
      <c r="I22" s="26" t="n">
        <v>60500</v>
      </c>
      <c r="J22" s="2" t="n">
        <v>64</v>
      </c>
      <c r="K22" s="27" t="n">
        <v>61220</v>
      </c>
      <c r="L22" s="27" t="n">
        <v>72500</v>
      </c>
      <c r="M22" s="27" t="n"/>
      <c r="N22" s="27" t="n"/>
      <c r="O22" s="27" t="n">
        <v>66300</v>
      </c>
      <c r="P22" s="29">
        <f>O22*1.03</f>
        <v/>
      </c>
      <c r="Q22" s="29" t="n"/>
      <c r="R22" s="27">
        <f>M22*1.03</f>
        <v/>
      </c>
      <c r="S22" s="2" t="n">
        <v>55300</v>
      </c>
      <c r="T22" s="2" t="n">
        <v>62212.68</v>
      </c>
      <c r="U22" s="2">
        <f>49590*1.22</f>
        <v/>
      </c>
      <c r="V22" s="2">
        <f>50773*1.22</f>
        <v/>
      </c>
      <c r="W22" s="2">
        <f>50112*1.22</f>
        <v/>
      </c>
      <c r="X22" s="2">
        <f>AVERAGE(T22:W22)</f>
        <v/>
      </c>
      <c r="Y22" s="32">
        <f>X22/B22-1</f>
        <v/>
      </c>
      <c r="Z22" s="32">
        <f>S22/T22-1</f>
        <v/>
      </c>
      <c r="AA22" t="n">
        <v>60000</v>
      </c>
      <c r="AB22" t="n">
        <v>58300</v>
      </c>
      <c r="AC22">
        <f>AB22*1.03</f>
        <v/>
      </c>
      <c r="AD22">
        <f>AB22*1.05</f>
        <v/>
      </c>
    </row>
    <row r="23">
      <c r="A23" s="19" t="inlineStr">
        <is>
          <t>8,0 мм Ст3 (3000х1500)</t>
        </is>
      </c>
      <c r="B23" s="30" t="n">
        <v>73000</v>
      </c>
      <c r="C23" s="117" t="n">
        <v>4.5</v>
      </c>
      <c r="D23" s="117">
        <f>E23/C23</f>
        <v/>
      </c>
      <c r="E23" s="118" t="n">
        <v>0.2826</v>
      </c>
      <c r="F23" s="23" t="n">
        <v>240</v>
      </c>
      <c r="G23" s="24">
        <f>B23*E23+F23</f>
        <v/>
      </c>
      <c r="H23" s="25">
        <f>G23/C23</f>
        <v/>
      </c>
      <c r="I23" s="26" t="n">
        <v>60500</v>
      </c>
      <c r="J23" s="2" t="n">
        <v>85</v>
      </c>
      <c r="K23" s="27" t="n">
        <v>61220</v>
      </c>
      <c r="L23" s="27" t="n">
        <v>78500</v>
      </c>
      <c r="M23" s="27" t="n">
        <v>65300</v>
      </c>
      <c r="N23" s="27" t="n"/>
      <c r="O23" s="27" t="n">
        <v>66300</v>
      </c>
      <c r="P23" s="29">
        <f>O23*1.03</f>
        <v/>
      </c>
      <c r="Q23" s="29" t="n"/>
      <c r="R23" s="27">
        <f>M23*1.03</f>
        <v/>
      </c>
      <c r="S23" s="2" t="n">
        <v>55300</v>
      </c>
      <c r="T23" s="2" t="n">
        <v>62212.68</v>
      </c>
      <c r="U23" s="2">
        <f>49590*1.22</f>
        <v/>
      </c>
      <c r="V23" s="2">
        <f>50773*1.22</f>
        <v/>
      </c>
      <c r="W23" s="2">
        <f>50112*1.22</f>
        <v/>
      </c>
      <c r="X23" s="2">
        <f>AVERAGE(T23:W23)</f>
        <v/>
      </c>
      <c r="Y23" s="32">
        <f>X23/B23-1</f>
        <v/>
      </c>
      <c r="Z23" s="32">
        <f>S23/T23-1</f>
        <v/>
      </c>
      <c r="AA23" t="n">
        <v>60000</v>
      </c>
      <c r="AB23" t="n">
        <v>57800</v>
      </c>
      <c r="AC23">
        <f>AB23*1.03</f>
        <v/>
      </c>
      <c r="AD23">
        <f>AB23*1.05</f>
        <v/>
      </c>
    </row>
    <row r="24">
      <c r="A24" s="19" t="inlineStr">
        <is>
          <t>10,0 мм Ст3 (3000х1500)</t>
        </is>
      </c>
      <c r="B24" s="30" t="n">
        <v>73000</v>
      </c>
      <c r="C24" s="117" t="n">
        <v>4.5</v>
      </c>
      <c r="D24" s="117">
        <f>E24/C24</f>
        <v/>
      </c>
      <c r="E24" s="118" t="n">
        <v>0.362</v>
      </c>
      <c r="F24" s="23" t="n">
        <v>300</v>
      </c>
      <c r="G24" s="24">
        <f>B24*E24+F24</f>
        <v/>
      </c>
      <c r="H24" s="25">
        <f>G24/C24</f>
        <v/>
      </c>
      <c r="I24" s="26" t="n">
        <v>60500</v>
      </c>
      <c r="J24" s="2" t="n">
        <v>107</v>
      </c>
      <c r="K24" s="27" t="n">
        <v>61220</v>
      </c>
      <c r="L24" s="27" t="n"/>
      <c r="M24" s="27" t="n"/>
      <c r="N24" s="27" t="n">
        <v>67970</v>
      </c>
      <c r="O24" s="27" t="n">
        <v>66300</v>
      </c>
      <c r="P24" s="29">
        <f>O24*1.03</f>
        <v/>
      </c>
      <c r="Q24" s="29" t="n"/>
      <c r="R24" s="27">
        <f>M24*1.03</f>
        <v/>
      </c>
      <c r="S24" s="2" t="n"/>
      <c r="T24" s="2" t="n"/>
      <c r="U24" s="2" t="n"/>
      <c r="V24" s="2" t="n"/>
      <c r="W24" s="2" t="n"/>
      <c r="X24" s="2" t="n"/>
      <c r="Y24" s="32" t="n"/>
      <c r="Z24" s="32" t="n"/>
      <c r="AB24" t="n">
        <v>57800</v>
      </c>
      <c r="AC24">
        <f>AB24*1.03</f>
        <v/>
      </c>
      <c r="AD24">
        <f>AB24*1.05</f>
        <v/>
      </c>
    </row>
    <row r="25">
      <c r="A25" s="19" t="inlineStr">
        <is>
          <t>12,0 мм Ст3 (3000х1500)</t>
        </is>
      </c>
      <c r="B25" s="30" t="n">
        <v>73000</v>
      </c>
      <c r="C25" s="117" t="n">
        <v>4.5</v>
      </c>
      <c r="D25" s="117">
        <f>E25/C25</f>
        <v/>
      </c>
      <c r="E25" s="118" t="n">
        <v>0.424</v>
      </c>
      <c r="F25" s="23" t="n">
        <v>420</v>
      </c>
      <c r="G25" s="24">
        <f>B25*E25+F25</f>
        <v/>
      </c>
      <c r="H25" s="25">
        <f>G25/C25</f>
        <v/>
      </c>
      <c r="I25" s="26" t="n">
        <v>60500</v>
      </c>
      <c r="J25" s="2" t="n">
        <v>128.5</v>
      </c>
      <c r="K25" s="27" t="n">
        <v>61220</v>
      </c>
      <c r="L25" s="27" t="n"/>
      <c r="M25" s="27" t="n">
        <v>73000</v>
      </c>
      <c r="N25" s="27" t="n"/>
      <c r="O25" s="27" t="n">
        <v>66300</v>
      </c>
      <c r="P25" s="29">
        <f>O25*1.03</f>
        <v/>
      </c>
      <c r="Q25" s="29" t="n"/>
      <c r="R25" s="27">
        <f>M25*1.03</f>
        <v/>
      </c>
      <c r="S25" s="2" t="n"/>
      <c r="T25" s="2" t="n"/>
      <c r="U25" s="2" t="n"/>
      <c r="V25" s="2" t="n"/>
      <c r="W25" s="2" t="n"/>
      <c r="X25" s="2" t="n"/>
      <c r="Y25" s="32" t="n"/>
      <c r="Z25" s="32" t="n"/>
      <c r="AB25" t="n">
        <v>57800</v>
      </c>
      <c r="AC25">
        <f>AB25*1.03</f>
        <v/>
      </c>
      <c r="AD25">
        <f>AB25*1.05</f>
        <v/>
      </c>
    </row>
    <row r="26">
      <c r="A26" s="19" t="inlineStr">
        <is>
          <t>16,0 мм Ст3 (3000х1500)</t>
        </is>
      </c>
      <c r="B26" s="30" t="n">
        <v>73000</v>
      </c>
      <c r="C26" s="117" t="n">
        <v>4.5</v>
      </c>
      <c r="D26" s="117">
        <f>E26/C26</f>
        <v/>
      </c>
      <c r="E26" s="118" t="n">
        <v>0.5649999999999999</v>
      </c>
      <c r="F26" s="23" t="n">
        <v>710</v>
      </c>
      <c r="G26" s="23">
        <f>B26*E26+F26</f>
        <v/>
      </c>
      <c r="H26" s="25">
        <f>G26/C26</f>
        <v/>
      </c>
      <c r="I26" s="26" t="n">
        <v>60500</v>
      </c>
      <c r="J26" s="2" t="n">
        <v>171.5</v>
      </c>
      <c r="K26" s="27" t="n">
        <v>61220</v>
      </c>
      <c r="L26" s="27" t="n"/>
      <c r="M26" s="27" t="n">
        <v>70500</v>
      </c>
      <c r="N26" s="27" t="n"/>
      <c r="O26" s="27" t="n">
        <v>66300</v>
      </c>
      <c r="P26" s="29">
        <f>O26*1.03</f>
        <v/>
      </c>
      <c r="Q26" s="29" t="n"/>
      <c r="R26" s="27">
        <f>M26*1.03</f>
        <v/>
      </c>
      <c r="S26" s="2" t="n"/>
      <c r="T26" s="2" t="n"/>
      <c r="U26" s="2" t="n"/>
      <c r="V26" s="2" t="n"/>
      <c r="W26" s="2" t="n"/>
      <c r="X26" s="2" t="n"/>
      <c r="Y26" s="32" t="n"/>
      <c r="Z26" s="32" t="n"/>
      <c r="AB26" t="n">
        <v>57800</v>
      </c>
      <c r="AC26">
        <f>AB26*1.03</f>
        <v/>
      </c>
      <c r="AD26">
        <f>AB26*1.05</f>
        <v/>
      </c>
    </row>
    <row r="27">
      <c r="A27" s="19" t="inlineStr">
        <is>
          <t>3мм рифл  (2500х1250)</t>
        </is>
      </c>
      <c r="B27" s="30" t="n">
        <v>73000</v>
      </c>
      <c r="C27" s="117" t="n">
        <v>3.125</v>
      </c>
      <c r="D27" s="117" t="n"/>
      <c r="E27" s="118" t="n">
        <v>0.0756</v>
      </c>
      <c r="F27" s="23" t="n"/>
      <c r="G27" s="23">
        <f>B27*E27+F27</f>
        <v/>
      </c>
      <c r="H27" s="25">
        <f>G27/C27</f>
        <v/>
      </c>
      <c r="I27" s="26" t="n">
        <v>67400</v>
      </c>
      <c r="J27" s="2" t="n"/>
      <c r="K27" s="27" t="n"/>
      <c r="L27" s="27" t="n"/>
      <c r="M27" s="27" t="n"/>
      <c r="N27" s="27" t="n"/>
      <c r="O27" s="27" t="n">
        <v>72200</v>
      </c>
      <c r="P27" s="29">
        <f>O27*1.03</f>
        <v/>
      </c>
      <c r="Q27" s="29" t="n"/>
      <c r="R27" s="27">
        <f>M27*1.03</f>
        <v/>
      </c>
      <c r="S27" s="2" t="n"/>
      <c r="T27" s="2" t="n">
        <v>72213.02</v>
      </c>
      <c r="U27" s="2" t="n"/>
      <c r="V27" s="2" t="n"/>
      <c r="W27" s="2">
        <f>58309*1.22</f>
        <v/>
      </c>
      <c r="X27" s="2">
        <f>AVERAGE(T27:W27)</f>
        <v/>
      </c>
      <c r="Y27" s="32">
        <f>X27/B27-1</f>
        <v/>
      </c>
      <c r="Z27" s="32">
        <f>S27/T27-1</f>
        <v/>
      </c>
      <c r="AB27" t="n">
        <v>72213</v>
      </c>
      <c r="AC27">
        <f>AB27*1.03</f>
        <v/>
      </c>
      <c r="AD27">
        <f>AB27*1.05</f>
        <v/>
      </c>
    </row>
    <row r="28">
      <c r="A28" s="19" t="inlineStr">
        <is>
          <t>1мм НЖ (2500х1250) AISI 304</t>
        </is>
      </c>
      <c r="B28" s="20" t="n">
        <v>320000</v>
      </c>
      <c r="C28" s="117" t="n">
        <v>3.125</v>
      </c>
      <c r="D28" s="117" t="n">
        <v>0.008</v>
      </c>
      <c r="E28" s="118">
        <f>D28*C28</f>
        <v/>
      </c>
      <c r="F28" s="23" t="n"/>
      <c r="G28" s="23">
        <f>B28*E28+F28</f>
        <v/>
      </c>
      <c r="H28" s="25">
        <f>G28/C28</f>
        <v/>
      </c>
      <c r="I28" s="26" t="n"/>
      <c r="J28" s="2" t="n"/>
      <c r="K28" s="27" t="n"/>
      <c r="L28" s="27" t="n"/>
      <c r="M28" s="27" t="n"/>
      <c r="N28" s="27" t="n"/>
      <c r="O28" s="27" t="n"/>
      <c r="P28" s="29" t="n">
        <v>320000</v>
      </c>
      <c r="Q28" s="29" t="n"/>
      <c r="R28" s="27" t="n"/>
      <c r="S28" s="2" t="n"/>
      <c r="T28" s="2" t="n"/>
      <c r="U28" s="2" t="n"/>
      <c r="V28" s="2" t="n"/>
      <c r="W28" s="2" t="n"/>
      <c r="X28" s="2" t="n"/>
      <c r="Y28" s="32" t="n"/>
      <c r="Z28" s="2" t="n"/>
    </row>
    <row r="29">
      <c r="A29" s="19" t="inlineStr">
        <is>
          <t>1мм НЖ (3000х1500) AISI 304</t>
        </is>
      </c>
      <c r="B29" s="20" t="n">
        <v>320000</v>
      </c>
      <c r="C29" s="117" t="n">
        <v>4.5</v>
      </c>
      <c r="D29" s="117" t="n">
        <v>0.008</v>
      </c>
      <c r="E29" s="118">
        <f>D29*C29</f>
        <v/>
      </c>
      <c r="F29" s="23" t="n"/>
      <c r="G29" s="23">
        <f>B29*E29+F29</f>
        <v/>
      </c>
      <c r="H29" s="25">
        <f>G29/C29</f>
        <v/>
      </c>
      <c r="I29" s="26" t="n"/>
      <c r="J29" s="2" t="n"/>
      <c r="K29" s="27" t="n"/>
      <c r="L29" s="27" t="n"/>
      <c r="M29" s="27" t="n"/>
      <c r="N29" s="27" t="n"/>
      <c r="O29" s="27" t="n"/>
      <c r="P29" s="29" t="n">
        <v>320000</v>
      </c>
      <c r="Q29" s="29" t="n"/>
      <c r="R29" s="27" t="n"/>
      <c r="S29" s="2" t="n"/>
      <c r="T29" s="2" t="n"/>
      <c r="U29" s="2" t="n"/>
      <c r="V29" s="2" t="n"/>
      <c r="W29" s="2" t="n"/>
      <c r="X29" s="2" t="n"/>
      <c r="Y29" s="32" t="n"/>
      <c r="Z29" s="2" t="n"/>
    </row>
    <row r="30">
      <c r="A30" s="19" t="inlineStr">
        <is>
          <t>Другой материал ( см. примечание)</t>
        </is>
      </c>
      <c r="B30" s="23" t="n"/>
      <c r="C30" s="117" t="n"/>
      <c r="D30" s="117" t="n"/>
      <c r="E30" s="118" t="n"/>
      <c r="F30" s="23" t="n"/>
      <c r="G30" s="23" t="n"/>
      <c r="H30" s="25" t="n"/>
      <c r="I30" s="26" t="n"/>
      <c r="J30" s="2" t="n"/>
      <c r="K30" s="2" t="n"/>
      <c r="L30" s="2" t="n"/>
      <c r="M30" s="2" t="n"/>
      <c r="N30" s="2" t="n"/>
      <c r="O30" s="2" t="n"/>
      <c r="P30" s="29" t="n">
        <v>320000</v>
      </c>
      <c r="Q30" s="29" t="n"/>
      <c r="R30" s="2" t="n"/>
      <c r="S30" s="2" t="n"/>
      <c r="T30" s="2" t="n"/>
      <c r="U30" s="2" t="n"/>
      <c r="V30" s="2" t="n"/>
      <c r="W30" s="2" t="n"/>
      <c r="X30" s="2" t="n"/>
      <c r="Y30" s="32">
        <f>AVERAGE(Y8:Y23)</f>
        <v/>
      </c>
      <c r="Z30" s="32">
        <f>AVERAGE(Z8:Z23)</f>
        <v/>
      </c>
    </row>
    <row r="31">
      <c r="A31" s="19" t="inlineStr">
        <is>
          <t>3мм НЖ (2500х1250) AISI 304 мат</t>
        </is>
      </c>
      <c r="B31" s="23" t="n">
        <v>320000</v>
      </c>
      <c r="C31" s="117" t="n">
        <v>3.125</v>
      </c>
      <c r="D31" s="117" t="n"/>
      <c r="E31" s="118" t="n">
        <v>0.075</v>
      </c>
      <c r="F31" s="23" t="n"/>
      <c r="G31" s="23">
        <f>B31*E31+F31</f>
        <v/>
      </c>
      <c r="H31" s="25">
        <f>G31/C31</f>
        <v/>
      </c>
      <c r="I31" s="2" t="n"/>
      <c r="J31" s="2" t="n"/>
      <c r="K31" s="2" t="n"/>
      <c r="P31" s="29" t="n">
        <v>320000</v>
      </c>
    </row>
    <row r="32">
      <c r="A32" s="19" t="inlineStr">
        <is>
          <t>2мм НЖ (2500х1250) AISI 304 Шлиф.</t>
        </is>
      </c>
      <c r="B32" s="23" t="n">
        <v>320000</v>
      </c>
      <c r="C32" s="122" t="n"/>
      <c r="D32" s="122" t="n"/>
      <c r="P32" s="29" t="n">
        <v>320000</v>
      </c>
    </row>
    <row r="33">
      <c r="A33" s="19" t="inlineStr">
        <is>
          <t>5мм НЖ (2500х1250) AISI 304</t>
        </is>
      </c>
      <c r="B33" s="23" t="n">
        <v>320000</v>
      </c>
      <c r="C33" s="122" t="n"/>
      <c r="D33" s="122" t="n"/>
      <c r="P33" s="29" t="n">
        <v>320000</v>
      </c>
    </row>
    <row r="34">
      <c r="A34" s="19" t="n"/>
      <c r="B34" s="23" t="n"/>
      <c r="C34" s="122" t="n"/>
      <c r="D34" s="122" t="n"/>
    </row>
    <row r="35">
      <c r="A35" s="19" t="inlineStr">
        <is>
          <t>Вид работ</t>
        </is>
      </c>
      <c r="B35" s="23" t="inlineStr">
        <is>
          <t>Цена материала</t>
        </is>
      </c>
      <c r="C35" s="122" t="n"/>
      <c r="D35" s="122" t="n"/>
    </row>
    <row r="36">
      <c r="A36" s="19" t="inlineStr">
        <is>
          <t>Порошковая покраска</t>
        </is>
      </c>
      <c r="B36" s="23" t="n">
        <v>500</v>
      </c>
      <c r="C36" s="122" t="n"/>
      <c r="D36" s="122" t="n"/>
    </row>
    <row r="37" ht="15" customHeight="1" s="18">
      <c r="A37" s="19" t="inlineStr">
        <is>
          <t>Эмаль покраска</t>
        </is>
      </c>
      <c r="B37" s="23" t="n">
        <v>1350</v>
      </c>
    </row>
    <row r="38" ht="15" customHeight="1" s="18">
      <c r="A38" s="19" t="inlineStr">
        <is>
          <t>Грунт + Эмаль покраска</t>
        </is>
      </c>
      <c r="B38" s="23" t="n">
        <v>1350</v>
      </c>
    </row>
    <row r="39">
      <c r="A39" s="19" t="inlineStr">
        <is>
          <t>Грунтовка+ Покраска порошковая</t>
        </is>
      </c>
      <c r="B39" s="23" t="n">
        <v>650</v>
      </c>
      <c r="C39" s="122" t="n"/>
      <c r="D39" s="122" t="n"/>
    </row>
    <row r="40">
      <c r="C40" s="122" t="n"/>
      <c r="D40" s="122" t="n"/>
    </row>
    <row r="41">
      <c r="C41" s="122" t="n"/>
      <c r="D41" s="122" t="n"/>
    </row>
    <row r="42">
      <c r="C42" s="122" t="n"/>
      <c r="D42" s="122" t="n"/>
    </row>
    <row r="43">
      <c r="C43" s="122" t="n"/>
      <c r="D43" s="122" t="n"/>
    </row>
    <row r="44">
      <c r="C44" s="122" t="n"/>
      <c r="D44" s="122" t="n"/>
    </row>
    <row r="45">
      <c r="C45" s="122" t="n"/>
      <c r="D45" s="122" t="n"/>
    </row>
    <row r="46">
      <c r="C46" s="122" t="n"/>
      <c r="D46" s="122" t="n"/>
    </row>
    <row r="47">
      <c r="C47" s="122" t="n"/>
      <c r="D47" s="122" t="n"/>
    </row>
    <row r="48">
      <c r="C48" s="122" t="n"/>
      <c r="D48" s="122" t="n"/>
    </row>
    <row r="49">
      <c r="C49" s="122" t="n"/>
      <c r="D49" s="122" t="n"/>
    </row>
    <row r="50">
      <c r="C50" s="122" t="n"/>
      <c r="D50" s="122" t="n"/>
    </row>
    <row r="51">
      <c r="C51" s="122" t="n"/>
      <c r="D51" s="122" t="n"/>
    </row>
    <row r="52">
      <c r="C52" s="122" t="n"/>
      <c r="D52" s="122" t="n"/>
    </row>
    <row r="53">
      <c r="C53" s="122" t="n"/>
      <c r="D53" s="122" t="n"/>
    </row>
    <row r="54">
      <c r="C54" s="122" t="n"/>
      <c r="D54" s="122" t="n"/>
    </row>
    <row r="55">
      <c r="C55" s="122" t="n"/>
      <c r="D55" s="122" t="n"/>
    </row>
    <row r="56">
      <c r="C56" s="122" t="n"/>
      <c r="D56" s="122" t="n"/>
    </row>
    <row r="57">
      <c r="C57" s="122" t="n"/>
      <c r="D57" s="122" t="n"/>
    </row>
    <row r="58">
      <c r="C58" s="122" t="n"/>
      <c r="D58" s="122" t="n"/>
    </row>
    <row r="59">
      <c r="C59" s="122" t="n"/>
      <c r="D59" s="122" t="n"/>
    </row>
    <row r="60">
      <c r="C60" s="122" t="n"/>
      <c r="D60" s="122" t="n"/>
    </row>
    <row r="61">
      <c r="C61" s="122" t="n"/>
      <c r="D61" s="122" t="n"/>
    </row>
    <row r="62">
      <c r="C62" s="122" t="n"/>
      <c r="D62" s="122" t="n"/>
    </row>
    <row r="63">
      <c r="C63" s="122" t="n"/>
      <c r="D63" s="122" t="n"/>
    </row>
    <row r="64">
      <c r="C64" s="122" t="n"/>
      <c r="D64" s="122" t="n"/>
    </row>
    <row r="65">
      <c r="C65" s="122" t="n"/>
      <c r="D65" s="122" t="n"/>
    </row>
    <row r="66">
      <c r="C66" s="122" t="n"/>
      <c r="D66" s="122" t="n"/>
    </row>
    <row r="67">
      <c r="C67" s="122" t="n"/>
      <c r="D67" s="122" t="n"/>
    </row>
    <row r="68">
      <c r="C68" s="122" t="n"/>
      <c r="D68" s="122" t="n"/>
    </row>
    <row r="69">
      <c r="C69" s="122" t="n"/>
      <c r="D69" s="122" t="n"/>
    </row>
    <row r="70">
      <c r="C70" s="122" t="n"/>
      <c r="D70" s="122" t="n"/>
    </row>
    <row r="71">
      <c r="C71" s="122" t="n"/>
      <c r="D71" s="122" t="n"/>
    </row>
    <row r="72">
      <c r="C72" s="122" t="n"/>
      <c r="D72" s="122" t="n"/>
    </row>
    <row r="73">
      <c r="C73" s="122" t="n"/>
      <c r="D73" s="122" t="n"/>
    </row>
    <row r="74">
      <c r="C74" s="122" t="n"/>
      <c r="D74" s="122" t="n"/>
    </row>
    <row r="75">
      <c r="C75" s="122" t="n"/>
      <c r="D75" s="122" t="n"/>
    </row>
    <row r="76">
      <c r="C76" s="122" t="n"/>
      <c r="D76" s="122" t="n"/>
    </row>
    <row r="77">
      <c r="C77" s="122" t="n"/>
      <c r="D77" s="122" t="n"/>
    </row>
    <row r="78">
      <c r="C78" s="122" t="n"/>
      <c r="D78" s="122" t="n"/>
    </row>
    <row r="79">
      <c r="C79" s="122" t="n"/>
      <c r="D79" s="122" t="n"/>
    </row>
    <row r="80">
      <c r="C80" s="122" t="n"/>
      <c r="D80" s="122" t="n"/>
    </row>
    <row r="81">
      <c r="C81" s="122" t="n"/>
      <c r="D81" s="122" t="n"/>
    </row>
    <row r="82">
      <c r="C82" s="122" t="n"/>
      <c r="D82" s="122" t="n"/>
    </row>
    <row r="83">
      <c r="C83" s="122" t="n"/>
      <c r="D83" s="122" t="n"/>
    </row>
    <row r="84">
      <c r="C84" s="122" t="n"/>
      <c r="D84" s="122" t="n"/>
    </row>
    <row r="85">
      <c r="C85" s="122" t="n"/>
      <c r="D85" s="122" t="n"/>
    </row>
    <row r="86">
      <c r="C86" s="122" t="n"/>
      <c r="D86" s="122" t="n"/>
    </row>
    <row r="87">
      <c r="C87" s="122" t="n"/>
      <c r="D87" s="122" t="n"/>
    </row>
    <row r="88">
      <c r="C88" s="122" t="n"/>
      <c r="D88" s="122" t="n"/>
    </row>
    <row r="89">
      <c r="C89" s="122" t="n"/>
      <c r="D89" s="122" t="n"/>
    </row>
    <row r="90">
      <c r="C90" s="122" t="n"/>
      <c r="D90" s="122" t="n"/>
    </row>
    <row r="91">
      <c r="C91" s="122" t="n"/>
      <c r="D91" s="122" t="n"/>
    </row>
    <row r="92">
      <c r="C92" s="122" t="n"/>
      <c r="D92" s="122" t="n"/>
    </row>
    <row r="93">
      <c r="C93" s="122" t="n"/>
      <c r="D93" s="122" t="n"/>
    </row>
    <row r="94">
      <c r="C94" s="122" t="n"/>
      <c r="D94" s="122" t="n"/>
    </row>
    <row r="95">
      <c r="C95" s="122" t="n"/>
      <c r="D95" s="122" t="n"/>
    </row>
    <row r="96">
      <c r="C96" s="122" t="n"/>
      <c r="D96" s="122" t="n"/>
    </row>
    <row r="97">
      <c r="C97" s="122" t="n"/>
      <c r="D97" s="122" t="n"/>
    </row>
    <row r="98">
      <c r="C98" s="122" t="n"/>
      <c r="D98" s="122" t="n"/>
    </row>
    <row r="99">
      <c r="C99" s="122" t="n"/>
      <c r="D99" s="122" t="n"/>
    </row>
    <row r="100">
      <c r="C100" s="122" t="n"/>
      <c r="D100" s="122" t="n"/>
    </row>
    <row r="101">
      <c r="C101" s="122" t="n"/>
      <c r="D101" s="122" t="n"/>
    </row>
    <row r="102">
      <c r="C102" s="122" t="n"/>
      <c r="D102" s="122" t="n"/>
    </row>
    <row r="103">
      <c r="C103" s="122" t="n"/>
      <c r="D103" s="122" t="n"/>
    </row>
    <row r="104">
      <c r="C104" s="122" t="n"/>
      <c r="D104" s="122" t="n"/>
    </row>
    <row r="105">
      <c r="C105" s="122" t="n"/>
      <c r="D105" s="122" t="n"/>
    </row>
    <row r="106">
      <c r="C106" s="122" t="n"/>
      <c r="D106" s="122" t="n"/>
    </row>
    <row r="107">
      <c r="C107" s="122" t="n"/>
      <c r="D107" s="122" t="n"/>
    </row>
    <row r="108">
      <c r="C108" s="122" t="n"/>
      <c r="D108" s="122" t="n"/>
    </row>
    <row r="109">
      <c r="C109" s="122" t="n"/>
      <c r="D109" s="122" t="n"/>
    </row>
    <row r="110">
      <c r="C110" s="122" t="n"/>
      <c r="D110" s="122" t="n"/>
    </row>
    <row r="111">
      <c r="C111" s="122" t="n"/>
      <c r="D111" s="122" t="n"/>
    </row>
    <row r="112">
      <c r="C112" s="122" t="n"/>
      <c r="D112" s="122" t="n"/>
    </row>
    <row r="113">
      <c r="C113" s="122" t="n"/>
      <c r="D113" s="122" t="n"/>
    </row>
    <row r="114">
      <c r="C114" s="122" t="n"/>
      <c r="D114" s="122" t="n"/>
    </row>
    <row r="115">
      <c r="C115" s="122" t="n"/>
      <c r="D115" s="122" t="n"/>
    </row>
    <row r="116">
      <c r="C116" s="122" t="n"/>
      <c r="D116" s="122" t="n"/>
    </row>
    <row r="117">
      <c r="C117" s="122" t="n"/>
      <c r="D117" s="122" t="n"/>
    </row>
    <row r="118">
      <c r="C118" s="122" t="n"/>
      <c r="D118" s="122" t="n"/>
    </row>
    <row r="119">
      <c r="C119" s="122" t="n"/>
      <c r="D119" s="122" t="n"/>
    </row>
    <row r="120">
      <c r="C120" s="122" t="n"/>
      <c r="D120" s="122" t="n"/>
    </row>
    <row r="121">
      <c r="C121" s="122" t="n"/>
      <c r="D121" s="122" t="n"/>
    </row>
    <row r="122">
      <c r="C122" s="122" t="n"/>
      <c r="D122" s="122" t="n"/>
    </row>
    <row r="123">
      <c r="C123" s="122" t="n"/>
      <c r="D123" s="122" t="n"/>
    </row>
    <row r="124">
      <c r="C124" s="122" t="n"/>
      <c r="D124" s="122" t="n"/>
    </row>
    <row r="125">
      <c r="C125" s="122" t="n"/>
      <c r="D125" s="122" t="n"/>
    </row>
    <row r="126">
      <c r="C126" s="122" t="n"/>
      <c r="D126" s="122" t="n"/>
    </row>
    <row r="127">
      <c r="C127" s="122" t="n"/>
      <c r="D127" s="122" t="n"/>
    </row>
    <row r="128">
      <c r="C128" s="122" t="n"/>
      <c r="D128" s="122" t="n"/>
    </row>
    <row r="129">
      <c r="C129" s="122" t="n"/>
      <c r="D129" s="122" t="n"/>
    </row>
    <row r="130">
      <c r="C130" s="122" t="n"/>
      <c r="D130" s="122" t="n"/>
    </row>
    <row r="131">
      <c r="C131" s="122" t="n"/>
      <c r="D131" s="122" t="n"/>
    </row>
    <row r="132">
      <c r="C132" s="122" t="n"/>
      <c r="D132" s="122" t="n"/>
    </row>
    <row r="133">
      <c r="C133" s="122" t="n"/>
      <c r="D133" s="122" t="n"/>
    </row>
    <row r="134">
      <c r="C134" s="122" t="n"/>
      <c r="D134" s="122" t="n"/>
    </row>
    <row r="135">
      <c r="C135" s="122" t="n"/>
      <c r="D135" s="122" t="n"/>
    </row>
    <row r="136">
      <c r="C136" s="122" t="n"/>
      <c r="D136" s="122" t="n"/>
    </row>
    <row r="137">
      <c r="C137" s="122" t="n"/>
      <c r="D137" s="122" t="n"/>
    </row>
    <row r="138">
      <c r="C138" s="122" t="n"/>
      <c r="D138" s="122" t="n"/>
    </row>
    <row r="139">
      <c r="C139" s="122" t="n"/>
      <c r="D139" s="122" t="n"/>
    </row>
    <row r="140">
      <c r="C140" s="122" t="n"/>
      <c r="D140" s="122" t="n"/>
    </row>
    <row r="141">
      <c r="C141" s="122" t="n"/>
      <c r="D141" s="122" t="n"/>
    </row>
    <row r="142">
      <c r="C142" s="122" t="n"/>
      <c r="D142" s="122" t="n"/>
    </row>
    <row r="143">
      <c r="C143" s="122" t="n"/>
      <c r="D143" s="122" t="n"/>
    </row>
    <row r="144">
      <c r="C144" s="122" t="n"/>
      <c r="D144" s="122" t="n"/>
    </row>
    <row r="145">
      <c r="C145" s="122" t="n"/>
      <c r="D145" s="122" t="n"/>
    </row>
    <row r="146">
      <c r="C146" s="122" t="n"/>
      <c r="D146" s="122" t="n"/>
    </row>
    <row r="147">
      <c r="C147" s="122" t="n"/>
      <c r="D147" s="122" t="n"/>
    </row>
    <row r="148">
      <c r="C148" s="122" t="n"/>
      <c r="D148" s="122" t="n"/>
    </row>
    <row r="149">
      <c r="C149" s="122" t="n"/>
      <c r="D149" s="122" t="n"/>
    </row>
    <row r="150">
      <c r="C150" s="122" t="n"/>
      <c r="D150" s="122" t="n"/>
    </row>
    <row r="151">
      <c r="C151" s="122" t="n"/>
      <c r="D151" s="122" t="n"/>
    </row>
    <row r="152">
      <c r="C152" s="122" t="n"/>
      <c r="D152" s="122" t="n"/>
    </row>
    <row r="153">
      <c r="C153" s="122" t="n"/>
      <c r="D153" s="122" t="n"/>
    </row>
    <row r="154">
      <c r="C154" s="122" t="n"/>
      <c r="D154" s="122" t="n"/>
    </row>
    <row r="155">
      <c r="C155" s="122" t="n"/>
      <c r="D155" s="122" t="n"/>
    </row>
    <row r="156">
      <c r="C156" s="122" t="n"/>
      <c r="D156" s="122" t="n"/>
    </row>
    <row r="157">
      <c r="C157" s="122" t="n"/>
      <c r="D157" s="122" t="n"/>
    </row>
    <row r="158">
      <c r="C158" s="122" t="n"/>
      <c r="D158" s="122" t="n"/>
    </row>
    <row r="159">
      <c r="C159" s="122" t="n"/>
      <c r="D159" s="122" t="n"/>
    </row>
    <row r="160">
      <c r="D160" s="122" t="n"/>
    </row>
    <row r="161">
      <c r="D161" s="122" t="n"/>
    </row>
    <row r="162">
      <c r="D162" s="122" t="n"/>
    </row>
    <row r="163">
      <c r="D163" s="122" t="n"/>
    </row>
    <row r="164">
      <c r="D164" s="122" t="n"/>
    </row>
    <row r="165">
      <c r="D165" s="122" t="n"/>
    </row>
    <row r="166">
      <c r="D166" s="122" t="n"/>
    </row>
    <row r="167">
      <c r="D167" s="122" t="n"/>
    </row>
  </sheetData>
  <mergeCells count="1">
    <mergeCell ref="T6:W6"/>
  </mergeCell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:F23"/>
    </sheetView>
  </sheetViews>
  <sheetFormatPr baseColWidth="8" defaultColWidth="9" defaultRowHeight="14.4"/>
  <cols>
    <col width="18.3333333333333" customWidth="1" style="18" min="1" max="1"/>
    <col width="38.3333333333333" customWidth="1" style="18" min="2" max="2"/>
    <col width="23.1111111111111" customWidth="1" style="18" min="3" max="3"/>
    <col width="17.3333333333333" customWidth="1" style="18" min="4" max="4"/>
    <col width="14.1111111111111" customWidth="1" style="18" min="5" max="5"/>
    <col width="14.4444444444444" customWidth="1" style="18" min="6" max="6"/>
  </cols>
  <sheetData>
    <row r="1">
      <c r="A1" s="1" t="inlineStr">
        <is>
          <t>Металл</t>
        </is>
      </c>
      <c r="B1" s="108" t="n"/>
      <c r="C1" s="1" t="inlineStr">
        <is>
          <t>Покраска</t>
        </is>
      </c>
      <c r="D1" s="108" t="n"/>
      <c r="E1" s="1" t="inlineStr">
        <is>
          <t>Другое</t>
        </is>
      </c>
      <c r="F1" s="108" t="n"/>
    </row>
    <row r="2">
      <c r="A2" s="2" t="inlineStr">
        <is>
          <t>Марка стали</t>
        </is>
      </c>
      <c r="B2" s="2" t="inlineStr">
        <is>
          <t>Листов/ м.кв. для порошковой покраски</t>
        </is>
      </c>
      <c r="C2" s="2" t="inlineStr">
        <is>
          <t>Материал покраски/RAL</t>
        </is>
      </c>
      <c r="D2" s="2" t="inlineStr">
        <is>
          <t>Использовано, кг.</t>
        </is>
      </c>
      <c r="E2" s="2" t="inlineStr">
        <is>
          <t>Материал</t>
        </is>
      </c>
      <c r="F2" s="2" t="inlineStr">
        <is>
          <t>Использовано</t>
        </is>
      </c>
    </row>
    <row r="3">
      <c r="A3" s="2" t="inlineStr">
        <is>
          <t>1 мм AISI 304</t>
        </is>
      </c>
      <c r="B3" s="2" t="n"/>
      <c r="C3" s="2" t="n"/>
      <c r="D3" s="2" t="n"/>
      <c r="E3" s="2" t="n"/>
      <c r="F3" s="2" t="n"/>
    </row>
    <row r="4">
      <c r="A4" s="2" t="inlineStr">
        <is>
          <t>1 мм Алюминий</t>
        </is>
      </c>
      <c r="B4" s="2" t="n"/>
      <c r="C4" s="2" t="n"/>
      <c r="D4" s="2" t="n"/>
      <c r="E4" s="2" t="n"/>
      <c r="F4" s="2" t="n"/>
    </row>
    <row r="5">
      <c r="A5" s="2" t="inlineStr">
        <is>
          <t>1 мм ОЦ Сталь</t>
        </is>
      </c>
      <c r="B5" s="2" t="n"/>
      <c r="C5" s="2" t="n"/>
      <c r="D5" s="2" t="n"/>
      <c r="E5" s="2" t="n"/>
      <c r="F5" s="2" t="n"/>
    </row>
    <row r="6">
      <c r="A6" s="2" t="inlineStr">
        <is>
          <t>1 мм ХК Сталь</t>
        </is>
      </c>
      <c r="B6" s="2" t="n"/>
      <c r="C6" s="2" t="n"/>
      <c r="D6" s="2" t="n"/>
      <c r="E6" s="2" t="n"/>
      <c r="F6" s="2" t="n"/>
    </row>
    <row r="7">
      <c r="A7" s="2" t="inlineStr">
        <is>
          <t>1,2  мм Алюминий</t>
        </is>
      </c>
      <c r="B7" s="2" t="n"/>
      <c r="C7" s="2" t="n"/>
      <c r="D7" s="2" t="n"/>
      <c r="E7" s="2" t="n"/>
      <c r="F7" s="2" t="n"/>
    </row>
    <row r="8">
      <c r="A8" s="2" t="inlineStr">
        <is>
          <t>1,5 мм ХК Сталь</t>
        </is>
      </c>
      <c r="B8" s="2" t="n"/>
      <c r="C8" s="2" t="n"/>
      <c r="D8" s="2" t="n"/>
      <c r="E8" s="2" t="n"/>
      <c r="F8" s="2" t="n"/>
    </row>
    <row r="9">
      <c r="A9" s="2" t="inlineStr">
        <is>
          <t>1,5 ОЦ Сталь</t>
        </is>
      </c>
      <c r="B9" s="2" t="n"/>
      <c r="C9" s="2" t="n"/>
      <c r="D9" s="2" t="n"/>
      <c r="E9" s="2" t="n"/>
      <c r="F9" s="2" t="n"/>
    </row>
    <row r="10">
      <c r="A10" s="2" t="inlineStr">
        <is>
          <t>1.5 мм ОЦ Сталь</t>
        </is>
      </c>
      <c r="B10" s="2" t="n"/>
      <c r="C10" s="2" t="n"/>
      <c r="D10" s="2" t="n"/>
      <c r="E10" s="2" t="n"/>
      <c r="F10" s="2" t="n"/>
    </row>
    <row r="11">
      <c r="A11" s="2" t="inlineStr">
        <is>
          <t>2 мм AISI 304</t>
        </is>
      </c>
      <c r="B11" s="2" t="n"/>
      <c r="C11" s="2" t="n"/>
      <c r="D11" s="2" t="n"/>
      <c r="E11" s="2" t="n"/>
      <c r="F11" s="2" t="n"/>
    </row>
    <row r="12">
      <c r="A12" s="2" t="inlineStr">
        <is>
          <t>2 мм ОЦ Сталь</t>
        </is>
      </c>
      <c r="B12" s="2" t="n"/>
      <c r="C12" s="2" t="n"/>
      <c r="D12" s="2" t="n"/>
      <c r="E12" s="2" t="n"/>
      <c r="F12" s="2" t="n"/>
    </row>
    <row r="13">
      <c r="A13" s="2" t="inlineStr">
        <is>
          <t>2 мм ХК Сталь</t>
        </is>
      </c>
      <c r="B13" s="2" t="n"/>
      <c r="C13" s="2" t="n"/>
      <c r="D13" s="2" t="n"/>
      <c r="E13" s="2" t="n"/>
      <c r="F13" s="2" t="n"/>
    </row>
    <row r="14">
      <c r="A14" s="2" t="inlineStr">
        <is>
          <t>3 мм ГК Сталь</t>
        </is>
      </c>
      <c r="B14" s="2" t="n"/>
      <c r="C14" s="2" t="n"/>
      <c r="D14" s="2" t="n"/>
      <c r="E14" s="2" t="n"/>
      <c r="F14" s="2" t="n"/>
    </row>
    <row r="15">
      <c r="A15" s="2" t="inlineStr">
        <is>
          <t>3 мм ОЦ Сталь</t>
        </is>
      </c>
      <c r="B15" s="2" t="n"/>
      <c r="C15" s="2" t="n"/>
      <c r="D15" s="2" t="n"/>
      <c r="E15" s="2" t="n"/>
      <c r="F15" s="2" t="n"/>
    </row>
    <row r="16">
      <c r="A16" s="2" t="inlineStr">
        <is>
          <t>3 мм Рефленка</t>
        </is>
      </c>
      <c r="B16" s="2" t="n"/>
      <c r="C16" s="2" t="n"/>
      <c r="D16" s="2" t="n"/>
      <c r="E16" s="2" t="n"/>
      <c r="F16" s="2" t="n"/>
    </row>
    <row r="17">
      <c r="A17" s="2" t="inlineStr">
        <is>
          <t>4 мм ГК Сталь</t>
        </is>
      </c>
      <c r="B17" s="2" t="n"/>
      <c r="C17" s="2" t="n"/>
      <c r="D17" s="2" t="n"/>
      <c r="E17" s="2" t="n"/>
      <c r="F17" s="2" t="n"/>
    </row>
    <row r="18">
      <c r="A18" s="2" t="inlineStr">
        <is>
          <t>5 мм ГК Сталь</t>
        </is>
      </c>
      <c r="B18" s="2" t="n"/>
      <c r="C18" s="2" t="n"/>
      <c r="D18" s="2" t="n"/>
      <c r="E18" s="2" t="n"/>
      <c r="F18" s="2" t="n"/>
    </row>
    <row r="19">
      <c r="A19" s="2" t="inlineStr">
        <is>
          <t>6 мм ГК Сталь</t>
        </is>
      </c>
      <c r="B19" s="2" t="n"/>
      <c r="C19" s="2" t="n"/>
      <c r="D19" s="2" t="n"/>
      <c r="E19" s="2" t="n"/>
      <c r="F19" s="2" t="n"/>
    </row>
    <row r="20">
      <c r="A20" s="2" t="inlineStr">
        <is>
          <t>8 мм ГК Сталь</t>
        </is>
      </c>
      <c r="B20" s="2" t="n"/>
      <c r="C20" s="2" t="n"/>
      <c r="D20" s="2" t="n"/>
      <c r="E20" s="2" t="n"/>
      <c r="F20" s="2" t="n"/>
    </row>
    <row r="21">
      <c r="A21" s="2" t="inlineStr">
        <is>
          <t>10 мм ГК Сталь</t>
        </is>
      </c>
      <c r="B21" s="2" t="n"/>
      <c r="C21" s="2" t="n"/>
      <c r="D21" s="2" t="n"/>
      <c r="E21" s="2" t="n"/>
      <c r="F21" s="2" t="n"/>
    </row>
    <row r="22">
      <c r="A22" s="2" t="inlineStr">
        <is>
          <t>12 мм ГК Сталь</t>
        </is>
      </c>
      <c r="B22" s="2" t="n"/>
      <c r="C22" s="2" t="n"/>
      <c r="D22" s="2" t="n"/>
      <c r="E22" s="2" t="n"/>
      <c r="F22" s="2" t="n"/>
    </row>
    <row r="23">
      <c r="A23" s="2" t="inlineStr">
        <is>
          <t>12 мм Сталь 45</t>
        </is>
      </c>
      <c r="B23" s="2" t="n"/>
      <c r="C23" s="2" t="n"/>
      <c r="D23" s="2" t="n"/>
      <c r="E23" s="2" t="n"/>
      <c r="F23" s="2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terms:created xsi:type="dcterms:W3CDTF">2014-08-29T05:34:00Z</dcterms:created>
  <dcterms:modified xsi:type="dcterms:W3CDTF">2026-09-08T19:04:20Z</dcterms:modified>
  <cp:lastModifiedBy>admin</cp:lastModifiedBy>
  <cp:lastPrinted>2024-07-01T07:34:00Z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E53C23F942E14F52BA3FDB5340B9178E_13</vt:lpwstr>
  </property>
  <property name="KSOProductBuildVer" fmtid="{D5CDD505-2E9C-101B-9397-08002B2CF9AE}" pid="3">
    <vt:lpwstr>1049-12.1.0.28032</vt:lpwstr>
  </property>
  <property name="CalculationRule" fmtid="{D5CDD505-2E9C-101B-9397-08002B2CF9AE}" pid="4">
    <vt:i4>0</vt:i4>
  </property>
</Properties>
</file>